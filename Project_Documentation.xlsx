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Overview" sheetId="1" state="visible" r:id="rId3"/>
    <sheet name="Dataset Summary" sheetId="2" state="visible" r:id="rId4"/>
    <sheet name="Table Relationship" sheetId="3" state="visible" r:id="rId5"/>
    <sheet name="Data Dictionary" sheetId="4" state="visible" r:id="rId6"/>
    <sheet name="Data Profiling" sheetId="5" state="visible" r:id="rId7"/>
    <sheet name="Cleaning Log" sheetId="6" state="visible" r:id="rId8"/>
    <sheet name="Power BI Progress" sheetId="7" state="visible" r:id="rId9"/>
    <sheet name="Business Questions" sheetId="8" state="visible" r:id="rId10"/>
    <sheet name="KPI &amp; DAX" sheetId="9" state="visible" r:id="rId11"/>
    <sheet name="Insights" sheetId="10" state="visible" r:id="rId12"/>
    <sheet name="Dashboard Plan"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<sst xmlns="http://schemas.openxmlformats.org/spreadsheetml/2006/main" count="643" uniqueCount="402">
  <si>
    <t xml:space="preserve">Project Overview</t>
  </si>
  <si>
    <t xml:space="preserve">Field</t>
  </si>
  <si>
    <t xml:space="preserve">Value</t>
  </si>
  <si>
    <t xml:space="preserve">Project Name</t>
  </si>
  <si>
    <t xml:space="preserve">Superstore Products Sales Analytics</t>
  </si>
  <si>
    <t xml:space="preserve">Dataset</t>
  </si>
  <si>
    <t xml:space="preserve">Superstore Sales Dataset (Superstore.xlsx) - sheets: Orders, Returns, People</t>
  </si>
  <si>
    <t xml:space="preserve">Tools</t>
  </si>
  <si>
    <t xml:space="preserve">Microsoft Excel, Power Query, Power BI, DAX</t>
  </si>
  <si>
    <t xml:space="preserve">Objective</t>
  </si>
  <si>
    <t xml:space="preserve">Analyze sales, profit, orders, customers, returns, shipping and regional performance to generate actionable insights, and present them in an interactive Products Sales Dashboard.</t>
  </si>
  <si>
    <t xml:space="preserve">Data Period</t>
  </si>
  <si>
    <t xml:space="preserve">03-Jan-2014 to 30-Dec-2017</t>
  </si>
  <si>
    <t xml:space="preserve">Business Scope</t>
  </si>
  <si>
    <t xml:space="preserve">United States retail: 3 categories, 17 sub-categories, 4 regions, 49 states, 3 customer segments, 4 ship modes</t>
  </si>
  <si>
    <t xml:space="preserve">Deliverables</t>
  </si>
  <si>
    <t xml:space="preserve">Cleaned data model, DAX measures, Products Sales Dashboard (Power BI), README.md, this documentation workbook</t>
  </si>
  <si>
    <t xml:space="preserve">Author</t>
  </si>
  <si>
    <t xml:space="preserve">Suman Kundu (GitHub: github.com/suman233)</t>
  </si>
  <si>
    <t xml:space="preserve">Note on figures</t>
  </si>
  <si>
    <t xml:space="preserve">Figures in this workbook (Dataset Summary, Data Profiling, KPI &amp; DAX reference values, Insights) are computed from the full Superstore.xlsx file. The dashboard screenshot shows smaller values (sales 230.68K vs 2.30M in the file), which suggests it was built on a sample or filtered subset. Refresh the dashboard against the full Orders sheet to reconcile.</t>
  </si>
  <si>
    <t xml:space="preserve">Dataset Summary</t>
  </si>
  <si>
    <t xml:space="preserve">Sheet</t>
  </si>
  <si>
    <t xml:space="preserve">Rows</t>
  </si>
  <si>
    <t xml:space="preserve">Columns</t>
  </si>
  <si>
    <t xml:space="preserve">Description</t>
  </si>
  <si>
    <t xml:space="preserve">Orders</t>
  </si>
  <si>
    <t xml:space="preserve">Order line items: order, customer, location, product, sales, quantity, discount, profit</t>
  </si>
  <si>
    <t xml:space="preserve">Returns</t>
  </si>
  <si>
    <t xml:space="preserve">Orders that were returned (Order ID, Returned flag)</t>
  </si>
  <si>
    <t xml:space="preserve">People</t>
  </si>
  <si>
    <t xml:space="preserve">Regional manager for each region</t>
  </si>
  <si>
    <t xml:space="preserve">Total (Rows)</t>
  </si>
  <si>
    <t xml:space="preserve">Coverage of the Orders sheet</t>
  </si>
  <si>
    <t xml:space="preserve">Measure</t>
  </si>
  <si>
    <t xml:space="preserve">Order date range</t>
  </si>
  <si>
    <t xml:space="preserve">Unique orders (Order ID)</t>
  </si>
  <si>
    <t xml:space="preserve">Unique customers (Customer ID)</t>
  </si>
  <si>
    <t xml:space="preserve">Unique products (Product ID)</t>
  </si>
  <si>
    <t xml:space="preserve">States</t>
  </si>
  <si>
    <t xml:space="preserve">Cities</t>
  </si>
  <si>
    <t xml:space="preserve">Regions</t>
  </si>
  <si>
    <t xml:space="preserve">Categories / Sub-categories</t>
  </si>
  <si>
    <t xml:space="preserve">3 / 17</t>
  </si>
  <si>
    <t xml:space="preserve">Segments</t>
  </si>
  <si>
    <t xml:space="preserve">Ship modes</t>
  </si>
  <si>
    <t xml:space="preserve">Country</t>
  </si>
  <si>
    <t xml:space="preserve">United States (single country)</t>
  </si>
  <si>
    <t xml:space="preserve">Table Relationship (Data Model)</t>
  </si>
  <si>
    <t xml:space="preserve">Based on the Power BI Model view (Data_Table_Relation.png). A dotted line in Model view = inactive relationship.</t>
  </si>
  <si>
    <t xml:space="preserve">Table Name</t>
  </si>
  <si>
    <t xml:space="preserve">Primary Key</t>
  </si>
  <si>
    <t xml:space="preserve">Foreign Key / Join Column</t>
  </si>
  <si>
    <t xml:space="preserve">Connected To</t>
  </si>
  <si>
    <t xml:space="preserve">Cardinality</t>
  </si>
  <si>
    <t xml:space="preserve">Status</t>
  </si>
  <si>
    <t xml:space="preserve">Notes</t>
  </si>
  <si>
    <t xml:space="preserve">Row ID (line level)</t>
  </si>
  <si>
    <t xml:space="preserve">Order ID, Order Date, Region</t>
  </si>
  <si>
    <t xml:space="preserve">Returns, Calendar, People</t>
  </si>
  <si>
    <t xml:space="preserve">Many-to-one</t>
  </si>
  <si>
    <t xml:space="preserve">Active</t>
  </si>
  <si>
    <t xml:space="preserve">Main fact table. Order ID repeats across line items, so it is the many side of the Returns link.</t>
  </si>
  <si>
    <t xml:space="preserve">Orders (2)</t>
  </si>
  <si>
    <t xml:space="preserve">See notes</t>
  </si>
  <si>
    <t xml:space="preserve">Second copy of the fact table used for role-playing links. Its links to Returns and People are dotted (inactive); verify the Calendar link in Model view.</t>
  </si>
  <si>
    <t xml:space="preserve">Order ID</t>
  </si>
  <si>
    <t xml:space="preserve">-</t>
  </si>
  <si>
    <t xml:space="preserve">Orders, Orders (2)</t>
  </si>
  <si>
    <t xml:space="preserve">One-to-many</t>
  </si>
  <si>
    <t xml:space="preserve">Active / Inactive</t>
  </si>
  <si>
    <t xml:space="preserve">Order ID is unique (296 rows). Cross-filter direction: Both on Orders; dotted (inactive) to Orders (2).</t>
  </si>
  <si>
    <t xml:space="preserve">Region</t>
  </si>
  <si>
    <t xml:space="preserve">4 regions, one manager each. Single direction. Dotted (inactive) to Orders (2).</t>
  </si>
  <si>
    <t xml:space="preserve">Calendar</t>
  </si>
  <si>
    <t xml:space="preserve">Date</t>
  </si>
  <si>
    <t xml:space="preserve">Date table for time intelligence. Single direction, Calendar filters Orders.</t>
  </si>
  <si>
    <t xml:space="preserve">Data Dictionary</t>
  </si>
  <si>
    <t xml:space="preserve">Orders (sheet)</t>
  </si>
  <si>
    <t xml:space="preserve">Column</t>
  </si>
  <si>
    <t xml:space="preserve">Datatype</t>
  </si>
  <si>
    <t xml:space="preserve">Meaning</t>
  </si>
  <si>
    <t xml:space="preserve">Key</t>
  </si>
  <si>
    <t xml:space="preserve">Row ID</t>
  </si>
  <si>
    <t xml:space="preserve">Integer</t>
  </si>
  <si>
    <t xml:space="preserve">Unique row number for each order line item</t>
  </si>
  <si>
    <t xml:space="preserve">Text</t>
  </si>
  <si>
    <t xml:space="preserve">Order identifier (format XX-YYYY-NNNNNN). Repeats once per item in the order</t>
  </si>
  <si>
    <t xml:space="preserve">Foreign Key -&gt; Returns.Order ID</t>
  </si>
  <si>
    <t xml:space="preserve">Order Date</t>
  </si>
  <si>
    <t xml:space="preserve">Date the order was placed</t>
  </si>
  <si>
    <t xml:space="preserve">Foreign Key -&gt; Calendar.Date</t>
  </si>
  <si>
    <t xml:space="preserve">Ship Date</t>
  </si>
  <si>
    <t xml:space="preserve">Date the order was shipped</t>
  </si>
  <si>
    <t xml:space="preserve">Business Date</t>
  </si>
  <si>
    <t xml:space="preserve">Ship Mode</t>
  </si>
  <si>
    <t xml:space="preserve">Shipping method: Standard Class, Second Class, First Class, Same Day</t>
  </si>
  <si>
    <t xml:space="preserve">Customer ID</t>
  </si>
  <si>
    <t xml:space="preserve">Unique customer identifier</t>
  </si>
  <si>
    <t xml:space="preserve">Business Identifier</t>
  </si>
  <si>
    <t xml:space="preserve">Customer Name</t>
  </si>
  <si>
    <t xml:space="preserve">Full name of the customer</t>
  </si>
  <si>
    <t xml:space="preserve">Segment</t>
  </si>
  <si>
    <t xml:space="preserve">Customer segment: Consumer, Corporate, Home Office</t>
  </si>
  <si>
    <t xml:space="preserve">Country of the order (United States)</t>
  </si>
  <si>
    <t xml:space="preserve">City</t>
  </si>
  <si>
    <t xml:space="preserve">Customer city</t>
  </si>
  <si>
    <t xml:space="preserve">State</t>
  </si>
  <si>
    <t xml:space="preserve">Customer state (used for the map)</t>
  </si>
  <si>
    <t xml:space="preserve">Postal Code</t>
  </si>
  <si>
    <t xml:space="preserve">ZIP code of the delivery location (stored as text with 5 digits after cleaning)</t>
  </si>
  <si>
    <t xml:space="preserve">Sales region: West, East, Central, South</t>
  </si>
  <si>
    <t xml:space="preserve">Foreign Key -&gt; People.Region</t>
  </si>
  <si>
    <t xml:space="preserve">Product ID</t>
  </si>
  <si>
    <t xml:space="preserve">Product identifier</t>
  </si>
  <si>
    <t xml:space="preserve">Category</t>
  </si>
  <si>
    <t xml:space="preserve">Product category: Furniture, Office Supplies, Technology</t>
  </si>
  <si>
    <t xml:space="preserve">Slicer field</t>
  </si>
  <si>
    <t xml:space="preserve">Sub-Category</t>
  </si>
  <si>
    <t xml:space="preserve">Product sub-category (17 values)</t>
  </si>
  <si>
    <t xml:space="preserve">Product Name</t>
  </si>
  <si>
    <t xml:space="preserve">Name of the product</t>
  </si>
  <si>
    <t xml:space="preserve">Sales</t>
  </si>
  <si>
    <t xml:space="preserve">Decimal</t>
  </si>
  <si>
    <t xml:space="preserve">Sales amount of the line item</t>
  </si>
  <si>
    <t xml:space="preserve">Measure source</t>
  </si>
  <si>
    <t xml:space="preserve">Quantity</t>
  </si>
  <si>
    <t xml:space="preserve">Units sold in the line item</t>
  </si>
  <si>
    <t xml:space="preserve">Discount</t>
  </si>
  <si>
    <t xml:space="preserve">Discount rate applied (0 to 0.8)</t>
  </si>
  <si>
    <t xml:space="preserve">Profit</t>
  </si>
  <si>
    <t xml:space="preserve">Profit of the line item (negative = loss)</t>
  </si>
  <si>
    <t xml:space="preserve">Returns (sheet)</t>
  </si>
  <si>
    <t xml:space="preserve">Returned</t>
  </si>
  <si>
    <t xml:space="preserve">Return flag, always "Yes" for listed orders</t>
  </si>
  <si>
    <t xml:space="preserve">Order that was returned</t>
  </si>
  <si>
    <t xml:space="preserve">Primary Key / Foreign Key -&gt; Orders.Order ID</t>
  </si>
  <si>
    <t xml:space="preserve">People (sheet)</t>
  </si>
  <si>
    <t xml:space="preserve">Person</t>
  </si>
  <si>
    <t xml:space="preserve">Regional manager name</t>
  </si>
  <si>
    <t xml:space="preserve">Region managed by the person</t>
  </si>
  <si>
    <t xml:space="preserve">Primary Key / Foreign Key -&gt; Orders.Region</t>
  </si>
  <si>
    <t xml:space="preserve">Calendar (calculated table)</t>
  </si>
  <si>
    <t xml:space="preserve">Continuous date column covering the order period</t>
  </si>
  <si>
    <t xml:space="preserve">Year</t>
  </si>
  <si>
    <t xml:space="preserve">Year of the date, used on the trend chart</t>
  </si>
  <si>
    <t xml:space="preserve">Year Month</t>
  </si>
  <si>
    <t xml:space="preserve">Year and month of the date, used for monthly analysis</t>
  </si>
  <si>
    <t xml:space="preserve">Total Sales</t>
  </si>
  <si>
    <t xml:space="preserve">SUM of Orders[Sales] used on the time axis</t>
  </si>
  <si>
    <t xml:space="preserve">PreviousYrSale</t>
  </si>
  <si>
    <t xml:space="preserve">Sales of the same period last year (time intelligence)</t>
  </si>
  <si>
    <t xml:space="preserve">Orders (model measure)</t>
  </si>
  <si>
    <t xml:space="preserve">MarginOfProfit</t>
  </si>
  <si>
    <t xml:space="preserve">Profit divided by Sales (profit margin %)</t>
  </si>
  <si>
    <t xml:space="preserve">Data Profiling</t>
  </si>
  <si>
    <t xml:space="preserve">Computed on the raw Superstore.xlsx before any cleaning.</t>
  </si>
  <si>
    <t xml:space="preserve">Total Rows</t>
  </si>
  <si>
    <t xml:space="preserve">Missing Values</t>
  </si>
  <si>
    <t xml:space="preserve">Duplicate Rows</t>
  </si>
  <si>
    <t xml:space="preserve">Result</t>
  </si>
  <si>
    <t xml:space="preserve">No missing values and no duplicate rows</t>
  </si>
  <si>
    <t xml:space="preserve">Orders: column profile</t>
  </si>
  <si>
    <t xml:space="preserve">Type</t>
  </si>
  <si>
    <t xml:space="preserve">Missing</t>
  </si>
  <si>
    <t xml:space="preserve">Unique Values</t>
  </si>
  <si>
    <t xml:space="preserve">Min</t>
  </si>
  <si>
    <t xml:space="preserve">Max</t>
  </si>
  <si>
    <t xml:space="preserve">Number</t>
  </si>
  <si>
    <t xml:space="preserve">2014-01-03</t>
  </si>
  <si>
    <t xml:space="preserve">2017-12-30</t>
  </si>
  <si>
    <t xml:space="preserve">2014-01-07</t>
  </si>
  <si>
    <t xml:space="preserve">2018-01-05</t>
  </si>
  <si>
    <t xml:space="preserve">Data quality observations</t>
  </si>
  <si>
    <t xml:space="preserve">Area</t>
  </si>
  <si>
    <t xml:space="preserve">Observation</t>
  </si>
  <si>
    <t xml:space="preserve">Action</t>
  </si>
  <si>
    <t xml:space="preserve">449 rows have only 4 digits (leading zero lost) - New England states and New Jersey</t>
  </si>
  <si>
    <t xml:space="preserve">Convert to text, pad to 5 digits</t>
  </si>
  <si>
    <t xml:space="preserve">16 rows have leading or trailing spaces</t>
  </si>
  <si>
    <t xml:space="preserve">Trim and clean</t>
  </si>
  <si>
    <t xml:space="preserve">32 Product IDs map to more than one Product Name</t>
  </si>
  <si>
    <t xml:space="preserve">Documented, kept</t>
  </si>
  <si>
    <t xml:space="preserve">1,871 line items have negative profit (total -156,131)</t>
  </si>
  <si>
    <t xml:space="preserve">Valid losses, kept</t>
  </si>
  <si>
    <t xml:space="preserve">No ship date is earlier than the order date; shipping time is 0 to 7 days</t>
  </si>
  <si>
    <t xml:space="preserve">No action</t>
  </si>
  <si>
    <t xml:space="preserve">All 296 returned Order IDs exist in Orders and none repeat</t>
  </si>
  <si>
    <t xml:space="preserve">People / Region</t>
  </si>
  <si>
    <t xml:space="preserve">Region values in Orders match People exactly (4 regions)</t>
  </si>
  <si>
    <t xml:space="preserve">Cleaning Log</t>
  </si>
  <si>
    <t xml:space="preserve">Table</t>
  </si>
  <si>
    <t xml:space="preserve">Issue</t>
  </si>
  <si>
    <t xml:space="preserve">Decision</t>
  </si>
  <si>
    <t xml:space="preserve">Reason</t>
  </si>
  <si>
    <t xml:space="preserve">All columns</t>
  </si>
  <si>
    <t xml:space="preserve">Missing values</t>
  </si>
  <si>
    <t xml:space="preserve">Checked</t>
  </si>
  <si>
    <t xml:space="preserve">No null values in any of the 21 columns, so no imputation or row removal was needed.</t>
  </si>
  <si>
    <t xml:space="preserve">Duplicate rows</t>
  </si>
  <si>
    <t xml:space="preserve">No exact duplicate rows; Row ID is unique.</t>
  </si>
  <si>
    <t xml:space="preserve">Stored as number, leading zero lost (449 rows with 4 digits)</t>
  </si>
  <si>
    <t xml:space="preserve">Fixed</t>
  </si>
  <si>
    <t xml:space="preserve">Converted to text and padded to 5 digits so ZIP codes are valid and map correctly.</t>
  </si>
  <si>
    <t xml:space="preserve">Leading/trailing spaces (16 rows)</t>
  </si>
  <si>
    <t xml:space="preserve">Trim and Clean applied so identical products group together in visuals.</t>
  </si>
  <si>
    <t xml:space="preserve">Product ID / Product Name</t>
  </si>
  <si>
    <t xml:space="preserve">32 Product IDs have more than one Product Name</t>
  </si>
  <si>
    <t xml:space="preserve">Kept</t>
  </si>
  <si>
    <t xml:space="preserve">Names are alternate descriptions of the same ID; documented, Product ID used for joins and Product Name for display.</t>
  </si>
  <si>
    <t xml:space="preserve">Order Date, Ship Date</t>
  </si>
  <si>
    <t xml:space="preserve">Date columns need Date type</t>
  </si>
  <si>
    <t xml:space="preserve">Data type set to Date; verified Ship Date is never earlier than Order Date.</t>
  </si>
  <si>
    <t xml:space="preserve">Sales, Profit, Discount, Quantity</t>
  </si>
  <si>
    <t xml:space="preserve">Numeric type must be explicit</t>
  </si>
  <si>
    <t xml:space="preserve">Decimal for Sales, Profit, Discount; Whole number for Quantity so aggregations work.</t>
  </si>
  <si>
    <t xml:space="preserve">1,871 negative-profit lines</t>
  </si>
  <si>
    <t xml:space="preserve">Real losses (mostly heavy discounts); removing them would overstate profit.</t>
  </si>
  <si>
    <t xml:space="preserve">Only a flag column (Returned = Yes)</t>
  </si>
  <si>
    <t xml:space="preserve">Used as a lookup of returned orders; unique Order ID, so the one side of the relationship.</t>
  </si>
  <si>
    <t xml:space="preserve">Region must match Orders</t>
  </si>
  <si>
    <t xml:space="preserve">4 regions match exactly; used as the join key to the regional manager.</t>
  </si>
  <si>
    <t xml:space="preserve">Model</t>
  </si>
  <si>
    <t xml:space="preserve">No date table in the source</t>
  </si>
  <si>
    <t xml:space="preserve">Created</t>
  </si>
  <si>
    <t xml:space="preserve">Calendar table with Date, Year and Year Month added for time intelligence.</t>
  </si>
  <si>
    <t xml:space="preserve">P.S</t>
  </si>
  <si>
    <t xml:space="preserve">Before analysis I profiled the data, documented quality issues, fixed only what would break joins, maps or grouping, and kept valid records (including loss-making sales) instead of removing them.</t>
  </si>
  <si>
    <t xml:space="preserve">Power BI Progress</t>
  </si>
  <si>
    <t xml:space="preserve">Step</t>
  </si>
  <si>
    <t xml:space="preserve">Task</t>
  </si>
  <si>
    <t xml:space="preserve">Details</t>
  </si>
  <si>
    <t xml:space="preserve">Load Data</t>
  </si>
  <si>
    <t xml:space="preserve">Import Orders, Returns and People sheets from Superstore.xlsx</t>
  </si>
  <si>
    <t xml:space="preserve">Done</t>
  </si>
  <si>
    <t xml:space="preserve">Check nulls, duplicates, data types and key columns</t>
  </si>
  <si>
    <t xml:space="preserve">Data Cleaning (Power Query)</t>
  </si>
  <si>
    <t xml:space="preserve">Fix Postal Code, trim Product Name, set data types</t>
  </si>
  <si>
    <t xml:space="preserve">Create Calendar Table</t>
  </si>
  <si>
    <t xml:space="preserve">Date, Year, Year Month columns</t>
  </si>
  <si>
    <t xml:space="preserve">Build Data Model</t>
  </si>
  <si>
    <t xml:space="preserve">Relationships: Orders-Returns, Orders-Calendar, Orders-People (+ Orders (2) role-playing links)</t>
  </si>
  <si>
    <t xml:space="preserve">Create DAX Measures</t>
  </si>
  <si>
    <t xml:space="preserve">TotalSales, TotalOrders, Sum of Profit, TotalCustomers, Total Returns, MarginOfProfit, PreviousYrSale</t>
  </si>
  <si>
    <t xml:space="preserve">Build Visuals</t>
  </si>
  <si>
    <t xml:space="preserve">KPI cards, line chart, map, bar chart, donut chart, column chart</t>
  </si>
  <si>
    <t xml:space="preserve">Add Slicers &amp; Format</t>
  </si>
  <si>
    <t xml:space="preserve">Segment and Category slicers, colors, titles, data labels</t>
  </si>
  <si>
    <t xml:space="preserve">Documentation</t>
  </si>
  <si>
    <t xml:space="preserve">README.md and this workbook</t>
  </si>
  <si>
    <t xml:space="preserve">Business Questions</t>
  </si>
  <si>
    <t xml:space="preserve">No.</t>
  </si>
  <si>
    <t xml:space="preserve">Business Question</t>
  </si>
  <si>
    <t xml:space="preserve">Business Area</t>
  </si>
  <si>
    <t xml:space="preserve">KPI / Measure Used</t>
  </si>
  <si>
    <t xml:space="preserve">What are total sales, profit and profit margin?</t>
  </si>
  <si>
    <t xml:space="preserve">TotalSales, Sum of Profit, MarginOfProfit</t>
  </si>
  <si>
    <t xml:space="preserve">How many orders were placed and by how many customers?</t>
  </si>
  <si>
    <t xml:space="preserve">Customer</t>
  </si>
  <si>
    <t xml:space="preserve">TotalOrders, TotalCustomers</t>
  </si>
  <si>
    <t xml:space="preserve">How are sales and profit changing year over year?</t>
  </si>
  <si>
    <t xml:space="preserve">Total Sales, PreviousYrSale by Year</t>
  </si>
  <si>
    <t xml:space="preserve">Which months and quarters are the strongest?</t>
  </si>
  <si>
    <t xml:space="preserve">Sales by Year Month</t>
  </si>
  <si>
    <t xml:space="preserve">Which region performs best?</t>
  </si>
  <si>
    <t xml:space="preserve">Geography</t>
  </si>
  <si>
    <t xml:space="preserve">Sales and Profit by Region</t>
  </si>
  <si>
    <t xml:space="preserve">Which states and cities generate the most sales?</t>
  </si>
  <si>
    <t xml:space="preserve">Sales by State (map), City</t>
  </si>
  <si>
    <t xml:space="preserve">Which categories and sub-categories make the most sales and profit?</t>
  </si>
  <si>
    <t xml:space="preserve">Product</t>
  </si>
  <si>
    <t xml:space="preserve">Sales and Profit by Category, Sub-Category</t>
  </si>
  <si>
    <t xml:space="preserve">Which products sell the most?</t>
  </si>
  <si>
    <t xml:space="preserve">Sales by Product Name</t>
  </si>
  <si>
    <t xml:space="preserve">Which ship modes do customers use and how fast is delivery?</t>
  </si>
  <si>
    <t xml:space="preserve">Operations</t>
  </si>
  <si>
    <t xml:space="preserve">TotalOrders by Ship Mode, average shipping days</t>
  </si>
  <si>
    <t xml:space="preserve">How many orders are returned and how much does it affect sales?</t>
  </si>
  <si>
    <t xml:space="preserve">Total Returns, return rate</t>
  </si>
  <si>
    <t xml:space="preserve">Which customer segment contributes the most?</t>
  </si>
  <si>
    <t xml:space="preserve">Sales and Profit by Segment</t>
  </si>
  <si>
    <t xml:space="preserve">How do discounts affect profit?</t>
  </si>
  <si>
    <t xml:space="preserve">Profitability</t>
  </si>
  <si>
    <t xml:space="preserve">Profit by Discount band</t>
  </si>
  <si>
    <t xml:space="preserve">KPI &amp; DAX Reference</t>
  </si>
  <si>
    <t xml:space="preserve">Reference values are computed from the full Superstore.xlsx (no filters). The dashboard screenshot shows different values because it is filtered/sampled.</t>
  </si>
  <si>
    <t xml:space="preserve">KPI / Measure</t>
  </si>
  <si>
    <t xml:space="preserve">Business Meaning</t>
  </si>
  <si>
    <t xml:space="preserve">DAX (as documented)</t>
  </si>
  <si>
    <t xml:space="preserve">Used In</t>
  </si>
  <si>
    <t xml:space="preserve">Reference Value (full file)</t>
  </si>
  <si>
    <t xml:space="preserve">TotalSales</t>
  </si>
  <si>
    <t xml:space="preserve">Total revenue from all order lines</t>
  </si>
  <si>
    <t xml:space="preserve">TotalSales = SUM(Orders[Sales])</t>
  </si>
  <si>
    <t xml:space="preserve">KPI card</t>
  </si>
  <si>
    <t xml:space="preserve">TotalOrders</t>
  </si>
  <si>
    <t xml:space="preserve">Unique orders</t>
  </si>
  <si>
    <t xml:space="preserve">TotalOrders = DISTINCTCOUNT(Orders[Order ID])</t>
  </si>
  <si>
    <t xml:space="preserve">KPI card, donut</t>
  </si>
  <si>
    <t xml:space="preserve">Sum of Profit</t>
  </si>
  <si>
    <t xml:space="preserve">Total profit</t>
  </si>
  <si>
    <t xml:space="preserve">Sum of Profit = SUM(Orders[Profit])</t>
  </si>
  <si>
    <t xml:space="preserve">KPI card, line chart</t>
  </si>
  <si>
    <t xml:space="preserve">TotalCustomers</t>
  </si>
  <si>
    <t xml:space="preserve">Unique customers</t>
  </si>
  <si>
    <t xml:space="preserve">TotalCustomers = DISTINCTCOUNT(Orders[Customer ID])</t>
  </si>
  <si>
    <t xml:space="preserve">Total Returns</t>
  </si>
  <si>
    <t xml:space="preserve">Unique returned orders</t>
  </si>
  <si>
    <t xml:space="preserve">Total Returns = DISTINCTCOUNT(Returns[Order ID])</t>
  </si>
  <si>
    <t xml:space="preserve">Profit as % of sales</t>
  </si>
  <si>
    <t xml:space="preserve">MarginOfProfit = DIVIDE(SUM(Orders[Profit]), SUM(Orders[Sales]))</t>
  </si>
  <si>
    <t xml:space="preserve">Model measure</t>
  </si>
  <si>
    <t xml:space="preserve">Sales of same period last year</t>
  </si>
  <si>
    <t xml:space="preserve">PreviousYrSale = CALCULATE([Total Sales], SAMEPERIODLASTYEAR(Calendar[Date]))</t>
  </si>
  <si>
    <t xml:space="preserve">Return Rate %</t>
  </si>
  <si>
    <t xml:space="preserve">Share of orders returned</t>
  </si>
  <si>
    <t xml:space="preserve">Return Rate % = DIVIDE([Total Returns], [TotalOrders])</t>
  </si>
  <si>
    <t xml:space="preserve">Optional KPI</t>
  </si>
  <si>
    <t xml:space="preserve">Average Order Value</t>
  </si>
  <si>
    <t xml:space="preserve">Sales per order</t>
  </si>
  <si>
    <t xml:space="preserve">AOV = DIVIDE([TotalSales], [TotalOrders])</t>
  </si>
  <si>
    <t xml:space="preserve">YoY Sales Growth %</t>
  </si>
  <si>
    <t xml:space="preserve">Year-over-year change in sales</t>
  </si>
  <si>
    <t xml:space="preserve">YoY % = DIVIDE([Total Sales] - [PreviousYrSale], [PreviousYrSale])</t>
  </si>
  <si>
    <t xml:space="preserve">Average Shipping Days</t>
  </si>
  <si>
    <t xml:space="preserve">Average days from order to ship</t>
  </si>
  <si>
    <t xml:space="preserve">Avg Ship Days = AVERAGEX(Orders, DATEDIFF(Orders[Order Date], Orders[Ship Date], DAY))</t>
  </si>
  <si>
    <t xml:space="preserve">Business Insights</t>
  </si>
  <si>
    <t xml:space="preserve">Calculated on the full Superstore.xlsx data (2014-2017).</t>
  </si>
  <si>
    <t xml:space="preserve">Sales &amp; Profit Trend</t>
  </si>
  <si>
    <t xml:space="preserve">• Sales fell slightly in 2015 (-2.8%), then grew strongly in 2016 (+29.5%) and 2017 (+20.4%), reaching $733K.</t>
  </si>
  <si>
    <t xml:space="preserve">• Profit rose every year ($49.5K in 2014 to $93.4K in 2017); margin improved from 10.2% to a peak of 13.4% in 2016 and eased to 12.7% in 2017.</t>
  </si>
  <si>
    <t xml:space="preserve">• November ($352K), December ($325K) and September ($308K) are the strongest months; Q4 contributes 38.2% of annual sales, showing seasonal demand.</t>
  </si>
  <si>
    <t xml:space="preserve">• January and February are the weakest months, a window for promotions.</t>
  </si>
  <si>
    <t xml:space="preserve">Category &amp; Sub-Category</t>
  </si>
  <si>
    <t xml:space="preserve">• Technology leads in sales ($836K) and profit ($145K); Office Supplies has the most orders (3,742) and $122K profit.</t>
  </si>
  <si>
    <t xml:space="preserve">• Furniture makes $742K in sales but only $18.5K profit (about 2.5% margin).</t>
  </si>
  <si>
    <t xml:space="preserve">• Phones ($330K) and Chairs ($328K) are the top sub-categories by sales; Copiers earn the highest profit ($55.6K).</t>
  </si>
  <si>
    <t xml:space="preserve">• Tables (-$17.7K), Bookcases (-$3.5K) and Supplies (-$1.2K) are loss-making sub-categories.</t>
  </si>
  <si>
    <t xml:space="preserve">Top Products</t>
  </si>
  <si>
    <t xml:space="preserve">• Canon imageCLASS 2200 Advanced Copier is the top product: $61.6K in sales and $25.2K profit.</t>
  </si>
  <si>
    <t xml:space="preserve">• Cisco TelePresence System EX90 sells $22.6K but lost $1.8K, so high sales do not always mean profit.</t>
  </si>
  <si>
    <t xml:space="preserve">• Binding machines (Fellowes PB500, GBC DocuBind) appear among the top sellers in Office Supplies.</t>
  </si>
  <si>
    <t xml:space="preserve">Region, State &amp; City</t>
  </si>
  <si>
    <t xml:space="preserve">• West is the top region ($725K sales, $108K profit), followed by East ($679K). Central has the lowest margin (about 7.9%).</t>
  </si>
  <si>
    <t xml:space="preserve">• California ($458K), New York ($311K) and Texas ($170K) lead; the top 5 states generate 52.0% of total sales.</t>
  </si>
  <si>
    <t xml:space="preserve">• New York City ($256K), Los Angeles ($176K) and Seattle ($120K) are the top cities; the top 10 cities contribute 44.5% of sales.</t>
  </si>
  <si>
    <t xml:space="preserve">Customer Segment</t>
  </si>
  <si>
    <t xml:space="preserve">• Consumer generates 50.6% of sales ($1.16M), then Corporate ($706K) and Home Office ($430K).</t>
  </si>
  <si>
    <t xml:space="preserve">• The business has 793 customers with an average of about 6.3 orders each, showing strong repeat buying.</t>
  </si>
  <si>
    <t xml:space="preserve">Shipping</t>
  </si>
  <si>
    <t xml:space="preserve">• Standard Class is used for 59.8% of orders (average 5.0 days), Second Class 19.2% (3.2 days), First Class 15.7% (2.2 days) and Same Day 5.3%.</t>
  </si>
  <si>
    <t xml:space="preserve">• Average time from order to ship is about 4.0 days (0 to 7 days).</t>
  </si>
  <si>
    <t xml:space="preserve">Discounts &amp; Profitability</t>
  </si>
  <si>
    <t xml:space="preserve">• Lines with no discount earn $321K profit and lines with up to 20% discount earn $101K.</t>
  </si>
  <si>
    <t xml:space="preserve">• Discounts above 20% turn profit negative (-$35.8K for 20-40% and -$99.6K above 40%).</t>
  </si>
  <si>
    <t xml:space="preserve">• 1,871 order lines (18.7%) are loss-making, totalling about -$156K. Discount control is the biggest profit opportunity.</t>
  </si>
  <si>
    <t xml:space="preserve">• 296 orders were returned, which is 5.9% of all orders and about $180.5K (7.9%) of total sales.</t>
  </si>
  <si>
    <t xml:space="preserve">• Returned orders grew from 53 in 2014 to 105 in 2017, in line with order growth.</t>
  </si>
  <si>
    <t xml:space="preserve">• 189 of the 296 returned orders (64%) are in the West region; this is worth investigating.</t>
  </si>
  <si>
    <t xml:space="preserve">Dashboard Note</t>
  </si>
  <si>
    <t xml:space="preserve">• The dashboard screenshot shows totals of 230.68K sales, 40.23K profit, 1K orders, 233 customers and 76 returns, much lower than the full file (2.30M sales, 5,009 orders, 793 customers, 296 returns).</t>
  </si>
  <si>
    <t xml:space="preserve">• The trend pattern (dip in 2015, growth to 2017), West as top region and Standard Class as the main ship mode match the full data.</t>
  </si>
  <si>
    <t xml:space="preserve">Dashboard Plan</t>
  </si>
  <si>
    <t xml:space="preserve">Products Sales Dashboard (Power BI)</t>
  </si>
  <si>
    <t xml:space="preserve">Power BI Visual</t>
  </si>
  <si>
    <t xml:space="preserve">Fields Used</t>
  </si>
  <si>
    <t xml:space="preserve">Filtered By</t>
  </si>
  <si>
    <t xml:space="preserve">How much did the company earn?</t>
  </si>
  <si>
    <t xml:space="preserve">KPI Card</t>
  </si>
  <si>
    <t xml:space="preserve">How many orders were placed?</t>
  </si>
  <si>
    <t xml:space="preserve">How much profit was made?</t>
  </si>
  <si>
    <t xml:space="preserve">How many customers purchased?</t>
  </si>
  <si>
    <t xml:space="preserve">How many orders were returned?</t>
  </si>
  <si>
    <t xml:space="preserve">How are sales and profit changing over time?</t>
  </si>
  <si>
    <t xml:space="preserve">Line Chart (dual axis)</t>
  </si>
  <si>
    <t xml:space="preserve">Calendar[Year], Sum of Sales, Sum of Profit</t>
  </si>
  <si>
    <t xml:space="preserve">Segment, Category</t>
  </si>
  <si>
    <t xml:space="preserve">Which states generate the most sales?</t>
  </si>
  <si>
    <t xml:space="preserve">Map (bubble)</t>
  </si>
  <si>
    <t xml:space="preserve">Orders[State], Sum of Sales</t>
  </si>
  <si>
    <t xml:space="preserve">Bar Chart</t>
  </si>
  <si>
    <t xml:space="preserve">Orders[Region], Sum of Sales (color by Count of Region)</t>
  </si>
  <si>
    <t xml:space="preserve">What is the order distribution by ship mode?</t>
  </si>
  <si>
    <t xml:space="preserve">Donut Chart</t>
  </si>
  <si>
    <t xml:space="preserve">Orders[Ship Mode], TotalOrders</t>
  </si>
  <si>
    <t xml:space="preserve">Column Chart (top N)</t>
  </si>
  <si>
    <t xml:space="preserve">Orders[Product Name], Sum of Sales</t>
  </si>
  <si>
    <t xml:space="preserve">Filter by customer segment</t>
  </si>
  <si>
    <t xml:space="preserve">Slicer (list)</t>
  </si>
  <si>
    <t xml:space="preserve">Orders[Segment]</t>
  </si>
  <si>
    <t xml:space="preserve">Whole page</t>
  </si>
  <si>
    <t xml:space="preserve">Filter by product category</t>
  </si>
  <si>
    <t xml:space="preserve">Slicer (buttons)</t>
  </si>
  <si>
    <t xml:space="preserve">Orders[Category]</t>
  </si>
  <si>
    <t xml:space="preserve">Suggested additions</t>
  </si>
  <si>
    <t xml:space="preserve">How does discount affect profit?</t>
  </si>
  <si>
    <t xml:space="preserve">Column Chart</t>
  </si>
  <si>
    <t xml:space="preserve">Discount band, Sum of Profit</t>
  </si>
  <si>
    <t xml:space="preserve">Which sub-categories lose money?</t>
  </si>
  <si>
    <t xml:space="preserve">Sub-Category, Sum of Profit</t>
  </si>
  <si>
    <t xml:space="preserve">What is the return rate?</t>
  </si>
</sst>
</file>

<file path=xl/styles.xml><?xml version="1.0" encoding="utf-8"?>
<styleSheet xmlns="http://schemas.openxmlformats.org/spreadsheetml/2006/main">
  <numFmts count="4">
    <numFmt numFmtId="164" formatCode="General"/>
    <numFmt numFmtId="165" formatCode="#,##0"/>
    <numFmt numFmtId="166" formatCode="#,##0.00"/>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b val="true"/>
      <sz val="11"/>
      <color rgb="FF1F3864"/>
      <name val="Arial"/>
      <family val="0"/>
      <charset val="1"/>
    </font>
    <font>
      <i val="true"/>
      <sz val="9"/>
      <color rgb="FF595959"/>
      <name val="Arial"/>
      <family val="0"/>
      <charset val="1"/>
    </font>
    <font>
      <b val="true"/>
      <sz val="12"/>
      <color rgb="FF1F3864"/>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left" vertical="top" textRotation="0" wrapText="true" indent="0" shrinkToFit="false"/>
      <protection locked="true" hidden="false"/>
    </xf>
    <xf numFmtId="165" fontId="6"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left" vertical="top" textRotation="0" wrapText="tru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left" vertical="top" textRotation="0" wrapText="true" indent="0" shrinkToFit="false"/>
      <protection locked="true" hidden="false"/>
    </xf>
    <xf numFmtId="167" fontId="6" fillId="3" borderId="1" xfId="0" applyFont="true" applyBorder="true" applyAlignment="true" applyProtection="false">
      <alignment horizontal="left" vertical="top"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5"/>
  </cols>
  <sheetData>
    <row r="1" customFormat="false" ht="19.5" hidden="false" customHeight="true" outlineLevel="0" collapsed="false">
      <c r="A1" s="2" t="s">
        <v>0</v>
      </c>
    </row>
    <row r="3" customFormat="false" ht="15" hidden="false" customHeight="true" outlineLevel="0" collapsed="false">
      <c r="A3" s="3" t="s">
        <v>1</v>
      </c>
      <c r="B3" s="3" t="s">
        <v>2</v>
      </c>
    </row>
    <row r="4" customFormat="false" ht="15" hidden="false" customHeight="true" outlineLevel="0" collapsed="false">
      <c r="A4" s="4" t="s">
        <v>3</v>
      </c>
      <c r="B4" s="4" t="s">
        <v>4</v>
      </c>
    </row>
    <row r="5" customFormat="false" ht="15" hidden="false" customHeight="true" outlineLevel="0" collapsed="false">
      <c r="A5" s="5" t="s">
        <v>5</v>
      </c>
      <c r="B5" s="5" t="s">
        <v>6</v>
      </c>
    </row>
    <row r="6" customFormat="false" ht="15" hidden="false" customHeight="true" outlineLevel="0" collapsed="false">
      <c r="A6" s="4" t="s">
        <v>7</v>
      </c>
      <c r="B6" s="4" t="s">
        <v>8</v>
      </c>
    </row>
    <row r="7" customFormat="false" ht="23.25" hidden="false" customHeight="true" outlineLevel="0" collapsed="false">
      <c r="A7" s="5" t="s">
        <v>9</v>
      </c>
      <c r="B7" s="5" t="s">
        <v>10</v>
      </c>
    </row>
    <row r="8" customFormat="false" ht="15" hidden="false" customHeight="true" outlineLevel="0" collapsed="false">
      <c r="A8" s="4" t="s">
        <v>11</v>
      </c>
      <c r="B8" s="4" t="s">
        <v>12</v>
      </c>
    </row>
    <row r="9" customFormat="false" ht="15" hidden="false" customHeight="true" outlineLevel="0" collapsed="false">
      <c r="A9" s="5" t="s">
        <v>13</v>
      </c>
      <c r="B9" s="5" t="s">
        <v>14</v>
      </c>
    </row>
    <row r="10" customFormat="false" ht="23.25" hidden="false" customHeight="true" outlineLevel="0" collapsed="false">
      <c r="A10" s="4" t="s">
        <v>15</v>
      </c>
      <c r="B10" s="4" t="s">
        <v>16</v>
      </c>
    </row>
    <row r="11" customFormat="false" ht="15" hidden="false" customHeight="true" outlineLevel="0" collapsed="false">
      <c r="A11" s="5" t="s">
        <v>17</v>
      </c>
      <c r="B11" s="5" t="s">
        <v>18</v>
      </c>
    </row>
    <row r="12" customFormat="false" ht="45.75" hidden="false" customHeight="true" outlineLevel="0" collapsed="false">
      <c r="A12" s="4" t="s">
        <v>19</v>
      </c>
      <c r="B12"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2"/>
    <col collapsed="false" customWidth="true" hidden="false" outlineLevel="0" max="4" min="4" style="1" width="52"/>
  </cols>
  <sheetData>
    <row r="1" customFormat="false" ht="19.5" hidden="false" customHeight="true" outlineLevel="0" collapsed="false">
      <c r="A1" s="2" t="s">
        <v>21</v>
      </c>
    </row>
    <row r="3" customFormat="false" ht="15" hidden="false" customHeight="true" outlineLevel="0" collapsed="false">
      <c r="A3" s="3" t="s">
        <v>22</v>
      </c>
      <c r="B3" s="3" t="s">
        <v>23</v>
      </c>
      <c r="C3" s="3" t="s">
        <v>24</v>
      </c>
      <c r="D3" s="3" t="s">
        <v>25</v>
      </c>
    </row>
    <row r="4" customFormat="false" ht="23.25" hidden="false" customHeight="true" outlineLevel="0" collapsed="false">
      <c r="A4" s="4" t="s">
        <v>26</v>
      </c>
      <c r="B4" s="6" t="n">
        <v>9994</v>
      </c>
      <c r="C4" s="4" t="n">
        <v>21</v>
      </c>
      <c r="D4" s="4" t="s">
        <v>27</v>
      </c>
    </row>
    <row r="5" customFormat="false" ht="15" hidden="false" customHeight="true" outlineLevel="0" collapsed="false">
      <c r="A5" s="5" t="s">
        <v>28</v>
      </c>
      <c r="B5" s="7" t="n">
        <v>296</v>
      </c>
      <c r="C5" s="5" t="n">
        <v>2</v>
      </c>
      <c r="D5" s="5" t="s">
        <v>29</v>
      </c>
    </row>
    <row r="6" customFormat="false" ht="15" hidden="false" customHeight="true" outlineLevel="0" collapsed="false">
      <c r="A6" s="4" t="s">
        <v>30</v>
      </c>
      <c r="B6" s="6" t="n">
        <v>4</v>
      </c>
      <c r="C6" s="4" t="n">
        <v>2</v>
      </c>
      <c r="D6" s="4" t="s">
        <v>31</v>
      </c>
    </row>
    <row r="8" customFormat="false" ht="15" hidden="false" customHeight="true" outlineLevel="0" collapsed="false">
      <c r="A8" s="8" t="s">
        <v>32</v>
      </c>
      <c r="B8" s="9" t="n">
        <f aca="false">SUM(B4:B6)</f>
        <v>10294</v>
      </c>
      <c r="C8" s="8"/>
      <c r="D8" s="8"/>
    </row>
    <row r="10" customFormat="false" ht="15" hidden="false" customHeight="true" outlineLevel="0" collapsed="false">
      <c r="A10" s="10" t="s">
        <v>33</v>
      </c>
      <c r="B10" s="11"/>
      <c r="C10" s="11"/>
      <c r="D10" s="11"/>
    </row>
    <row r="11" customFormat="false" ht="15" hidden="false" customHeight="true" outlineLevel="0" collapsed="false">
      <c r="A11" s="3" t="s">
        <v>34</v>
      </c>
      <c r="B11" s="3" t="s">
        <v>2</v>
      </c>
    </row>
    <row r="12" customFormat="false" ht="34.5" hidden="false" customHeight="true" outlineLevel="0" collapsed="false">
      <c r="A12" s="4" t="s">
        <v>35</v>
      </c>
      <c r="B12" s="6" t="s">
        <v>12</v>
      </c>
    </row>
    <row r="13" customFormat="false" ht="15" hidden="false" customHeight="true" outlineLevel="0" collapsed="false">
      <c r="A13" s="5" t="s">
        <v>36</v>
      </c>
      <c r="B13" s="7" t="n">
        <v>5009</v>
      </c>
    </row>
    <row r="14" customFormat="false" ht="15" hidden="false" customHeight="true" outlineLevel="0" collapsed="false">
      <c r="A14" s="4" t="s">
        <v>37</v>
      </c>
      <c r="B14" s="6" t="n">
        <v>793</v>
      </c>
    </row>
    <row r="15" customFormat="false" ht="15" hidden="false" customHeight="true" outlineLevel="0" collapsed="false">
      <c r="A15" s="5" t="s">
        <v>38</v>
      </c>
      <c r="B15" s="7" t="n">
        <v>1862</v>
      </c>
    </row>
    <row r="16" customFormat="false" ht="15" hidden="false" customHeight="true" outlineLevel="0" collapsed="false">
      <c r="A16" s="4" t="s">
        <v>39</v>
      </c>
      <c r="B16" s="6" t="n">
        <v>49</v>
      </c>
    </row>
    <row r="17" customFormat="false" ht="15" hidden="false" customHeight="true" outlineLevel="0" collapsed="false">
      <c r="A17" s="5" t="s">
        <v>40</v>
      </c>
      <c r="B17" s="7" t="n">
        <v>531</v>
      </c>
    </row>
    <row r="18" customFormat="false" ht="15" hidden="false" customHeight="true" outlineLevel="0" collapsed="false">
      <c r="A18" s="4" t="s">
        <v>41</v>
      </c>
      <c r="B18" s="6" t="n">
        <v>4</v>
      </c>
    </row>
    <row r="19" customFormat="false" ht="15" hidden="false" customHeight="true" outlineLevel="0" collapsed="false">
      <c r="A19" s="5" t="s">
        <v>42</v>
      </c>
      <c r="B19" s="7" t="s">
        <v>43</v>
      </c>
    </row>
    <row r="20" customFormat="false" ht="15" hidden="false" customHeight="true" outlineLevel="0" collapsed="false">
      <c r="A20" s="4" t="s">
        <v>44</v>
      </c>
      <c r="B20" s="6" t="n">
        <v>3</v>
      </c>
    </row>
    <row r="21" customFormat="false" ht="15" hidden="false" customHeight="true" outlineLevel="0" collapsed="false">
      <c r="A21" s="5" t="s">
        <v>45</v>
      </c>
      <c r="B21" s="7" t="n">
        <v>4</v>
      </c>
    </row>
    <row r="22" customFormat="false" ht="34.5" hidden="false" customHeight="true" outlineLevel="0" collapsed="false">
      <c r="A22" s="4" t="s">
        <v>46</v>
      </c>
      <c r="B22" s="6"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20"/>
    <col collapsed="false" customWidth="true" hidden="false" outlineLevel="0" max="4" min="4" style="1" width="22"/>
    <col collapsed="false" customWidth="true" hidden="false" outlineLevel="0" max="7" min="5" style="1" width="16"/>
    <col collapsed="false" customWidth="true" hidden="false" outlineLevel="0" max="8" min="8" style="1" width="60"/>
  </cols>
  <sheetData>
    <row r="1" customFormat="false" ht="19.5" hidden="false" customHeight="true" outlineLevel="0" collapsed="false">
      <c r="A1" s="2" t="s">
        <v>48</v>
      </c>
    </row>
    <row r="2" customFormat="false" ht="15" hidden="false" customHeight="true" outlineLevel="0" collapsed="false">
      <c r="A2" s="12" t="s">
        <v>49</v>
      </c>
    </row>
    <row r="4" customFormat="false" ht="23.25" hidden="false" customHeight="true" outlineLevel="0" collapsed="false">
      <c r="A4" s="3" t="s">
        <v>50</v>
      </c>
      <c r="B4" s="3" t="s">
        <v>51</v>
      </c>
      <c r="C4" s="3" t="s">
        <v>52</v>
      </c>
      <c r="D4" s="3" t="s">
        <v>53</v>
      </c>
      <c r="E4" s="3" t="s">
        <v>54</v>
      </c>
      <c r="F4" s="3" t="s">
        <v>55</v>
      </c>
      <c r="G4" s="3" t="s">
        <v>56</v>
      </c>
    </row>
    <row r="5" customFormat="false" ht="68.25" hidden="false" customHeight="true" outlineLevel="0" collapsed="false">
      <c r="A5" s="4" t="s">
        <v>26</v>
      </c>
      <c r="B5" s="4" t="s">
        <v>57</v>
      </c>
      <c r="C5" s="4" t="s">
        <v>58</v>
      </c>
      <c r="D5" s="4" t="s">
        <v>59</v>
      </c>
      <c r="E5" s="4" t="s">
        <v>60</v>
      </c>
      <c r="F5" s="4" t="s">
        <v>61</v>
      </c>
      <c r="G5" s="4" t="s">
        <v>62</v>
      </c>
    </row>
    <row r="6" customFormat="false" ht="90.75" hidden="false" customHeight="true" outlineLevel="0" collapsed="false">
      <c r="A6" s="5" t="s">
        <v>63</v>
      </c>
      <c r="B6" s="5" t="s">
        <v>57</v>
      </c>
      <c r="C6" s="5" t="s">
        <v>58</v>
      </c>
      <c r="D6" s="5" t="s">
        <v>59</v>
      </c>
      <c r="E6" s="5" t="s">
        <v>60</v>
      </c>
      <c r="F6" s="5" t="s">
        <v>64</v>
      </c>
      <c r="G6" s="5" t="s">
        <v>65</v>
      </c>
    </row>
    <row r="7" customFormat="false" ht="68.25" hidden="false" customHeight="true" outlineLevel="0" collapsed="false">
      <c r="A7" s="4" t="s">
        <v>28</v>
      </c>
      <c r="B7" s="4" t="s">
        <v>66</v>
      </c>
      <c r="C7" s="4" t="s">
        <v>67</v>
      </c>
      <c r="D7" s="4" t="s">
        <v>68</v>
      </c>
      <c r="E7" s="4" t="s">
        <v>69</v>
      </c>
      <c r="F7" s="4" t="s">
        <v>70</v>
      </c>
      <c r="G7" s="4" t="s">
        <v>71</v>
      </c>
    </row>
    <row r="8" customFormat="false" ht="57" hidden="false" customHeight="true" outlineLevel="0" collapsed="false">
      <c r="A8" s="5" t="s">
        <v>30</v>
      </c>
      <c r="B8" s="5" t="s">
        <v>72</v>
      </c>
      <c r="C8" s="5" t="s">
        <v>67</v>
      </c>
      <c r="D8" s="5" t="s">
        <v>68</v>
      </c>
      <c r="E8" s="5" t="s">
        <v>69</v>
      </c>
      <c r="F8" s="5" t="s">
        <v>70</v>
      </c>
      <c r="G8" s="5" t="s">
        <v>73</v>
      </c>
    </row>
    <row r="9" customFormat="false" ht="45.75" hidden="false" customHeight="true" outlineLevel="0" collapsed="false">
      <c r="A9" s="4" t="s">
        <v>74</v>
      </c>
      <c r="B9" s="4" t="s">
        <v>75</v>
      </c>
      <c r="C9" s="4" t="s">
        <v>67</v>
      </c>
      <c r="D9" s="4" t="s">
        <v>68</v>
      </c>
      <c r="E9" s="4" t="s">
        <v>69</v>
      </c>
      <c r="F9" s="4" t="s">
        <v>61</v>
      </c>
      <c r="G9" s="4"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70"/>
    <col collapsed="false" customWidth="true" hidden="false" outlineLevel="0" max="4" min="4" style="1" width="34"/>
  </cols>
  <sheetData>
    <row r="1" customFormat="false" ht="19.5" hidden="false" customHeight="true" outlineLevel="0" collapsed="false">
      <c r="A1" s="2" t="s">
        <v>77</v>
      </c>
    </row>
    <row r="3" customFormat="false" ht="15" hidden="false" customHeight="true" outlineLevel="0" collapsed="false">
      <c r="A3" s="10" t="s">
        <v>78</v>
      </c>
      <c r="B3" s="11"/>
      <c r="C3" s="11"/>
      <c r="D3" s="11"/>
    </row>
    <row r="4" customFormat="false" ht="15" hidden="false" customHeight="true" outlineLevel="0" collapsed="false">
      <c r="A4" s="3" t="s">
        <v>79</v>
      </c>
      <c r="B4" s="3" t="s">
        <v>80</v>
      </c>
      <c r="C4" s="3" t="s">
        <v>81</v>
      </c>
      <c r="D4" s="3" t="s">
        <v>82</v>
      </c>
    </row>
    <row r="5" customFormat="false" ht="15" hidden="false" customHeight="true" outlineLevel="0" collapsed="false">
      <c r="A5" s="4" t="s">
        <v>83</v>
      </c>
      <c r="B5" s="4" t="s">
        <v>84</v>
      </c>
      <c r="C5" s="4" t="s">
        <v>85</v>
      </c>
      <c r="D5" s="4" t="s">
        <v>51</v>
      </c>
    </row>
    <row r="6" customFormat="false" ht="15" hidden="false" customHeight="true" outlineLevel="0" collapsed="false">
      <c r="A6" s="5" t="s">
        <v>66</v>
      </c>
      <c r="B6" s="5" t="s">
        <v>86</v>
      </c>
      <c r="C6" s="5" t="s">
        <v>87</v>
      </c>
      <c r="D6" s="5" t="s">
        <v>88</v>
      </c>
    </row>
    <row r="7" customFormat="false" ht="15" hidden="false" customHeight="true" outlineLevel="0" collapsed="false">
      <c r="A7" s="4" t="s">
        <v>89</v>
      </c>
      <c r="B7" s="4" t="s">
        <v>75</v>
      </c>
      <c r="C7" s="4" t="s">
        <v>90</v>
      </c>
      <c r="D7" s="4" t="s">
        <v>91</v>
      </c>
    </row>
    <row r="8" customFormat="false" ht="15" hidden="false" customHeight="true" outlineLevel="0" collapsed="false">
      <c r="A8" s="5" t="s">
        <v>92</v>
      </c>
      <c r="B8" s="5" t="s">
        <v>75</v>
      </c>
      <c r="C8" s="5" t="s">
        <v>93</v>
      </c>
      <c r="D8" s="5" t="s">
        <v>94</v>
      </c>
    </row>
    <row r="9" customFormat="false" ht="15" hidden="false" customHeight="true" outlineLevel="0" collapsed="false">
      <c r="A9" s="4" t="s">
        <v>95</v>
      </c>
      <c r="B9" s="4" t="s">
        <v>86</v>
      </c>
      <c r="C9" s="4" t="s">
        <v>96</v>
      </c>
      <c r="D9" s="4"/>
    </row>
    <row r="10" customFormat="false" ht="15" hidden="false" customHeight="true" outlineLevel="0" collapsed="false">
      <c r="A10" s="5" t="s">
        <v>97</v>
      </c>
      <c r="B10" s="5" t="s">
        <v>86</v>
      </c>
      <c r="C10" s="5" t="s">
        <v>98</v>
      </c>
      <c r="D10" s="5" t="s">
        <v>99</v>
      </c>
    </row>
    <row r="11" customFormat="false" ht="15" hidden="false" customHeight="true" outlineLevel="0" collapsed="false">
      <c r="A11" s="4" t="s">
        <v>100</v>
      </c>
      <c r="B11" s="4" t="s">
        <v>86</v>
      </c>
      <c r="C11" s="4" t="s">
        <v>101</v>
      </c>
      <c r="D11" s="4"/>
    </row>
    <row r="12" customFormat="false" ht="15" hidden="false" customHeight="true" outlineLevel="0" collapsed="false">
      <c r="A12" s="5" t="s">
        <v>102</v>
      </c>
      <c r="B12" s="5" t="s">
        <v>86</v>
      </c>
      <c r="C12" s="5" t="s">
        <v>103</v>
      </c>
      <c r="D12" s="5"/>
    </row>
    <row r="13" customFormat="false" ht="15" hidden="false" customHeight="true" outlineLevel="0" collapsed="false">
      <c r="A13" s="4" t="s">
        <v>46</v>
      </c>
      <c r="B13" s="4" t="s">
        <v>86</v>
      </c>
      <c r="C13" s="4" t="s">
        <v>104</v>
      </c>
      <c r="D13" s="4"/>
    </row>
    <row r="14" customFormat="false" ht="15" hidden="false" customHeight="true" outlineLevel="0" collapsed="false">
      <c r="A14" s="5" t="s">
        <v>105</v>
      </c>
      <c r="B14" s="5" t="s">
        <v>86</v>
      </c>
      <c r="C14" s="5" t="s">
        <v>106</v>
      </c>
      <c r="D14" s="5"/>
    </row>
    <row r="15" customFormat="false" ht="15" hidden="false" customHeight="true" outlineLevel="0" collapsed="false">
      <c r="A15" s="4" t="s">
        <v>107</v>
      </c>
      <c r="B15" s="4" t="s">
        <v>86</v>
      </c>
      <c r="C15" s="4" t="s">
        <v>108</v>
      </c>
      <c r="D15" s="4"/>
    </row>
    <row r="16" customFormat="false" ht="15" hidden="false" customHeight="true" outlineLevel="0" collapsed="false">
      <c r="A16" s="5" t="s">
        <v>109</v>
      </c>
      <c r="B16" s="5" t="s">
        <v>86</v>
      </c>
      <c r="C16" s="5" t="s">
        <v>110</v>
      </c>
      <c r="D16" s="5"/>
    </row>
    <row r="17" customFormat="false" ht="15" hidden="false" customHeight="true" outlineLevel="0" collapsed="false">
      <c r="A17" s="4" t="s">
        <v>72</v>
      </c>
      <c r="B17" s="4" t="s">
        <v>86</v>
      </c>
      <c r="C17" s="4" t="s">
        <v>111</v>
      </c>
      <c r="D17" s="4" t="s">
        <v>112</v>
      </c>
    </row>
    <row r="18" customFormat="false" ht="15" hidden="false" customHeight="true" outlineLevel="0" collapsed="false">
      <c r="A18" s="5" t="s">
        <v>113</v>
      </c>
      <c r="B18" s="5" t="s">
        <v>86</v>
      </c>
      <c r="C18" s="5" t="s">
        <v>114</v>
      </c>
      <c r="D18" s="5" t="s">
        <v>99</v>
      </c>
    </row>
    <row r="19" customFormat="false" ht="15" hidden="false" customHeight="true" outlineLevel="0" collapsed="false">
      <c r="A19" s="4" t="s">
        <v>115</v>
      </c>
      <c r="B19" s="4" t="s">
        <v>86</v>
      </c>
      <c r="C19" s="4" t="s">
        <v>116</v>
      </c>
      <c r="D19" s="4" t="s">
        <v>117</v>
      </c>
    </row>
    <row r="20" customFormat="false" ht="15" hidden="false" customHeight="true" outlineLevel="0" collapsed="false">
      <c r="A20" s="5" t="s">
        <v>118</v>
      </c>
      <c r="B20" s="5" t="s">
        <v>86</v>
      </c>
      <c r="C20" s="5" t="s">
        <v>119</v>
      </c>
      <c r="D20" s="5"/>
    </row>
    <row r="21" customFormat="false" ht="15" hidden="false" customHeight="true" outlineLevel="0" collapsed="false">
      <c r="A21" s="4" t="s">
        <v>120</v>
      </c>
      <c r="B21" s="4" t="s">
        <v>86</v>
      </c>
      <c r="C21" s="4" t="s">
        <v>121</v>
      </c>
      <c r="D21" s="4"/>
    </row>
    <row r="22" customFormat="false" ht="15" hidden="false" customHeight="true" outlineLevel="0" collapsed="false">
      <c r="A22" s="5" t="s">
        <v>122</v>
      </c>
      <c r="B22" s="5" t="s">
        <v>123</v>
      </c>
      <c r="C22" s="5" t="s">
        <v>124</v>
      </c>
      <c r="D22" s="5" t="s">
        <v>125</v>
      </c>
    </row>
    <row r="23" customFormat="false" ht="15" hidden="false" customHeight="true" outlineLevel="0" collapsed="false">
      <c r="A23" s="4" t="s">
        <v>126</v>
      </c>
      <c r="B23" s="4" t="s">
        <v>84</v>
      </c>
      <c r="C23" s="4" t="s">
        <v>127</v>
      </c>
      <c r="D23" s="4" t="s">
        <v>125</v>
      </c>
    </row>
    <row r="24" customFormat="false" ht="15" hidden="false" customHeight="true" outlineLevel="0" collapsed="false">
      <c r="A24" s="5" t="s">
        <v>128</v>
      </c>
      <c r="B24" s="5" t="s">
        <v>123</v>
      </c>
      <c r="C24" s="5" t="s">
        <v>129</v>
      </c>
      <c r="D24" s="5" t="s">
        <v>125</v>
      </c>
    </row>
    <row r="25" customFormat="false" ht="15" hidden="false" customHeight="true" outlineLevel="0" collapsed="false">
      <c r="A25" s="4" t="s">
        <v>130</v>
      </c>
      <c r="B25" s="4" t="s">
        <v>123</v>
      </c>
      <c r="C25" s="4" t="s">
        <v>131</v>
      </c>
      <c r="D25" s="4" t="s">
        <v>125</v>
      </c>
    </row>
    <row r="27" customFormat="false" ht="15" hidden="false" customHeight="true" outlineLevel="0" collapsed="false">
      <c r="A27" s="10" t="s">
        <v>132</v>
      </c>
      <c r="B27" s="11"/>
      <c r="C27" s="11"/>
      <c r="D27" s="11"/>
    </row>
    <row r="28" customFormat="false" ht="15" hidden="false" customHeight="true" outlineLevel="0" collapsed="false">
      <c r="A28" s="3" t="s">
        <v>79</v>
      </c>
      <c r="B28" s="3" t="s">
        <v>80</v>
      </c>
      <c r="C28" s="3" t="s">
        <v>81</v>
      </c>
      <c r="D28" s="3" t="s">
        <v>82</v>
      </c>
    </row>
    <row r="29" customFormat="false" ht="15" hidden="false" customHeight="true" outlineLevel="0" collapsed="false">
      <c r="A29" s="4" t="s">
        <v>133</v>
      </c>
      <c r="B29" s="4" t="s">
        <v>86</v>
      </c>
      <c r="C29" s="4" t="s">
        <v>134</v>
      </c>
      <c r="D29" s="4"/>
    </row>
    <row r="30" customFormat="false" ht="23.25" hidden="false" customHeight="true" outlineLevel="0" collapsed="false">
      <c r="A30" s="5" t="s">
        <v>66</v>
      </c>
      <c r="B30" s="5" t="s">
        <v>86</v>
      </c>
      <c r="C30" s="5" t="s">
        <v>135</v>
      </c>
      <c r="D30" s="5" t="s">
        <v>136</v>
      </c>
    </row>
    <row r="32" customFormat="false" ht="15" hidden="false" customHeight="true" outlineLevel="0" collapsed="false">
      <c r="A32" s="10" t="s">
        <v>137</v>
      </c>
      <c r="B32" s="11"/>
      <c r="C32" s="11"/>
      <c r="D32" s="11"/>
    </row>
    <row r="33" customFormat="false" ht="15" hidden="false" customHeight="true" outlineLevel="0" collapsed="false">
      <c r="A33" s="3" t="s">
        <v>79</v>
      </c>
      <c r="B33" s="3" t="s">
        <v>80</v>
      </c>
      <c r="C33" s="3" t="s">
        <v>81</v>
      </c>
      <c r="D33" s="3" t="s">
        <v>82</v>
      </c>
    </row>
    <row r="34" customFormat="false" ht="15" hidden="false" customHeight="true" outlineLevel="0" collapsed="false">
      <c r="A34" s="4" t="s">
        <v>138</v>
      </c>
      <c r="B34" s="4" t="s">
        <v>86</v>
      </c>
      <c r="C34" s="4" t="s">
        <v>139</v>
      </c>
      <c r="D34" s="4"/>
    </row>
    <row r="35" customFormat="false" ht="23.25" hidden="false" customHeight="true" outlineLevel="0" collapsed="false">
      <c r="A35" s="5" t="s">
        <v>72</v>
      </c>
      <c r="B35" s="5" t="s">
        <v>86</v>
      </c>
      <c r="C35" s="5" t="s">
        <v>140</v>
      </c>
      <c r="D35" s="5" t="s">
        <v>141</v>
      </c>
    </row>
    <row r="37" customFormat="false" ht="15" hidden="false" customHeight="true" outlineLevel="0" collapsed="false">
      <c r="A37" s="10" t="s">
        <v>142</v>
      </c>
      <c r="B37" s="11"/>
      <c r="C37" s="11"/>
      <c r="D37" s="11"/>
    </row>
    <row r="38" customFormat="false" ht="15" hidden="false" customHeight="true" outlineLevel="0" collapsed="false">
      <c r="A38" s="3" t="s">
        <v>79</v>
      </c>
      <c r="B38" s="3" t="s">
        <v>80</v>
      </c>
      <c r="C38" s="3" t="s">
        <v>81</v>
      </c>
      <c r="D38" s="3" t="s">
        <v>82</v>
      </c>
    </row>
    <row r="39" customFormat="false" ht="15" hidden="false" customHeight="true" outlineLevel="0" collapsed="false">
      <c r="A39" s="4" t="s">
        <v>75</v>
      </c>
      <c r="B39" s="4" t="s">
        <v>75</v>
      </c>
      <c r="C39" s="4" t="s">
        <v>143</v>
      </c>
      <c r="D39" s="4" t="s">
        <v>51</v>
      </c>
    </row>
    <row r="40" customFormat="false" ht="15" hidden="false" customHeight="true" outlineLevel="0" collapsed="false">
      <c r="A40" s="5" t="s">
        <v>144</v>
      </c>
      <c r="B40" s="5" t="s">
        <v>84</v>
      </c>
      <c r="C40" s="5" t="s">
        <v>145</v>
      </c>
      <c r="D40" s="5"/>
    </row>
    <row r="41" customFormat="false" ht="15" hidden="false" customHeight="true" outlineLevel="0" collapsed="false">
      <c r="A41" s="4" t="s">
        <v>146</v>
      </c>
      <c r="B41" s="4" t="s">
        <v>86</v>
      </c>
      <c r="C41" s="4" t="s">
        <v>147</v>
      </c>
      <c r="D41" s="4"/>
    </row>
    <row r="42" customFormat="false" ht="15" hidden="false" customHeight="true" outlineLevel="0" collapsed="false">
      <c r="A42" s="5" t="s">
        <v>148</v>
      </c>
      <c r="B42" s="5" t="s">
        <v>34</v>
      </c>
      <c r="C42" s="5" t="s">
        <v>149</v>
      </c>
      <c r="D42" s="5"/>
    </row>
    <row r="43" customFormat="false" ht="15" hidden="false" customHeight="true" outlineLevel="0" collapsed="false">
      <c r="A43" s="4" t="s">
        <v>150</v>
      </c>
      <c r="B43" s="4" t="s">
        <v>34</v>
      </c>
      <c r="C43" s="4" t="s">
        <v>151</v>
      </c>
      <c r="D43" s="4"/>
    </row>
    <row r="45" customFormat="false" ht="15" hidden="false" customHeight="true" outlineLevel="0" collapsed="false">
      <c r="A45" s="10" t="s">
        <v>152</v>
      </c>
      <c r="B45" s="11"/>
      <c r="C45" s="11"/>
      <c r="D45" s="11"/>
    </row>
    <row r="46" customFormat="false" ht="15" hidden="false" customHeight="true" outlineLevel="0" collapsed="false">
      <c r="A46" s="3" t="s">
        <v>79</v>
      </c>
      <c r="B46" s="3" t="s">
        <v>80</v>
      </c>
      <c r="C46" s="3" t="s">
        <v>81</v>
      </c>
      <c r="D46" s="3" t="s">
        <v>82</v>
      </c>
    </row>
    <row r="47" customFormat="false" ht="15" hidden="false" customHeight="true" outlineLevel="0" collapsed="false">
      <c r="A47" s="4" t="s">
        <v>153</v>
      </c>
      <c r="B47" s="4" t="s">
        <v>34</v>
      </c>
      <c r="C47" s="4" t="s">
        <v>154</v>
      </c>
      <c r="D47"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3" min="3" style="1" width="12"/>
    <col collapsed="false" customWidth="true" hidden="false" outlineLevel="0" max="4" min="4" style="1" width="16"/>
    <col collapsed="false" customWidth="true" hidden="false" outlineLevel="0" max="5" min="5" style="1" width="18"/>
    <col collapsed="false" customWidth="true" hidden="false" outlineLevel="0" max="7" min="6" style="1" width="22"/>
    <col collapsed="false" customWidth="true" hidden="false" outlineLevel="0" max="8" min="8" style="1" width="36"/>
  </cols>
  <sheetData>
    <row r="1" customFormat="false" ht="19.5" hidden="false" customHeight="true" outlineLevel="0" collapsed="false">
      <c r="A1" s="2" t="s">
        <v>155</v>
      </c>
    </row>
    <row r="2" customFormat="false" ht="15" hidden="false" customHeight="true" outlineLevel="0" collapsed="false">
      <c r="A2" s="12" t="s">
        <v>156</v>
      </c>
    </row>
    <row r="4" customFormat="false" ht="15" hidden="false" customHeight="true" outlineLevel="0" collapsed="false">
      <c r="A4" s="3" t="s">
        <v>22</v>
      </c>
      <c r="B4" s="3" t="s">
        <v>157</v>
      </c>
      <c r="C4" s="3" t="s">
        <v>24</v>
      </c>
      <c r="D4" s="3" t="s">
        <v>158</v>
      </c>
      <c r="E4" s="3" t="s">
        <v>159</v>
      </c>
      <c r="F4" s="3" t="s">
        <v>160</v>
      </c>
    </row>
    <row r="5" customFormat="false" ht="23.25" hidden="false" customHeight="true" outlineLevel="0" collapsed="false">
      <c r="A5" s="4" t="s">
        <v>26</v>
      </c>
      <c r="B5" s="6" t="n">
        <v>9994</v>
      </c>
      <c r="C5" s="4" t="n">
        <v>21</v>
      </c>
      <c r="D5" s="4" t="n">
        <v>0</v>
      </c>
      <c r="E5" s="4" t="n">
        <v>0</v>
      </c>
      <c r="F5" s="4" t="s">
        <v>161</v>
      </c>
    </row>
    <row r="6" customFormat="false" ht="23.25" hidden="false" customHeight="true" outlineLevel="0" collapsed="false">
      <c r="A6" s="5" t="s">
        <v>28</v>
      </c>
      <c r="B6" s="7" t="n">
        <v>296</v>
      </c>
      <c r="C6" s="5" t="n">
        <v>2</v>
      </c>
      <c r="D6" s="5" t="n">
        <v>0</v>
      </c>
      <c r="E6" s="5" t="n">
        <v>0</v>
      </c>
      <c r="F6" s="5" t="s">
        <v>161</v>
      </c>
    </row>
    <row r="7" customFormat="false" ht="23.25" hidden="false" customHeight="true" outlineLevel="0" collapsed="false">
      <c r="A7" s="4" t="s">
        <v>30</v>
      </c>
      <c r="B7" s="6" t="n">
        <v>4</v>
      </c>
      <c r="C7" s="4" t="n">
        <v>2</v>
      </c>
      <c r="D7" s="4" t="n">
        <v>0</v>
      </c>
      <c r="E7" s="4" t="n">
        <v>0</v>
      </c>
      <c r="F7" s="4" t="s">
        <v>161</v>
      </c>
    </row>
    <row r="10" customFormat="false" ht="15" hidden="false" customHeight="true" outlineLevel="0" collapsed="false">
      <c r="A10" s="10" t="s">
        <v>162</v>
      </c>
      <c r="B10" s="11"/>
      <c r="C10" s="11"/>
      <c r="D10" s="11"/>
      <c r="E10" s="11"/>
      <c r="F10" s="11"/>
      <c r="G10" s="11"/>
      <c r="H10" s="11"/>
    </row>
    <row r="11" customFormat="false" ht="15" hidden="false" customHeight="true" outlineLevel="0" collapsed="false">
      <c r="A11" s="3" t="s">
        <v>79</v>
      </c>
      <c r="B11" s="3" t="s">
        <v>163</v>
      </c>
      <c r="C11" s="3" t="s">
        <v>164</v>
      </c>
      <c r="D11" s="3" t="s">
        <v>165</v>
      </c>
      <c r="E11" s="3" t="s">
        <v>166</v>
      </c>
      <c r="F11" s="3" t="s">
        <v>167</v>
      </c>
    </row>
    <row r="12" customFormat="false" ht="15" hidden="false" customHeight="true" outlineLevel="0" collapsed="false">
      <c r="A12" s="4" t="s">
        <v>83</v>
      </c>
      <c r="B12" s="4" t="s">
        <v>168</v>
      </c>
      <c r="C12" s="4" t="n">
        <v>0</v>
      </c>
      <c r="D12" s="6" t="n">
        <v>9994</v>
      </c>
      <c r="E12" s="4" t="n">
        <v>1</v>
      </c>
      <c r="F12" s="4" t="n">
        <v>9994</v>
      </c>
    </row>
    <row r="13" customFormat="false" ht="15" hidden="false" customHeight="true" outlineLevel="0" collapsed="false">
      <c r="A13" s="5" t="s">
        <v>66</v>
      </c>
      <c r="B13" s="5" t="s">
        <v>86</v>
      </c>
      <c r="C13" s="5" t="n">
        <v>0</v>
      </c>
      <c r="D13" s="7" t="n">
        <v>5009</v>
      </c>
      <c r="E13" s="5" t="s">
        <v>67</v>
      </c>
      <c r="F13" s="5" t="s">
        <v>67</v>
      </c>
    </row>
    <row r="14" customFormat="false" ht="15" hidden="false" customHeight="true" outlineLevel="0" collapsed="false">
      <c r="A14" s="4" t="s">
        <v>89</v>
      </c>
      <c r="B14" s="4" t="s">
        <v>75</v>
      </c>
      <c r="C14" s="4" t="n">
        <v>0</v>
      </c>
      <c r="D14" s="6" t="n">
        <v>1237</v>
      </c>
      <c r="E14" s="4" t="s">
        <v>169</v>
      </c>
      <c r="F14" s="4" t="s">
        <v>170</v>
      </c>
    </row>
    <row r="15" customFormat="false" ht="15" hidden="false" customHeight="true" outlineLevel="0" collapsed="false">
      <c r="A15" s="5" t="s">
        <v>92</v>
      </c>
      <c r="B15" s="5" t="s">
        <v>75</v>
      </c>
      <c r="C15" s="5" t="n">
        <v>0</v>
      </c>
      <c r="D15" s="7" t="n">
        <v>1334</v>
      </c>
      <c r="E15" s="5" t="s">
        <v>171</v>
      </c>
      <c r="F15" s="5" t="s">
        <v>172</v>
      </c>
    </row>
    <row r="16" customFormat="false" ht="15" hidden="false" customHeight="true" outlineLevel="0" collapsed="false">
      <c r="A16" s="4" t="s">
        <v>95</v>
      </c>
      <c r="B16" s="4" t="s">
        <v>86</v>
      </c>
      <c r="C16" s="4" t="n">
        <v>0</v>
      </c>
      <c r="D16" s="6" t="n">
        <v>4</v>
      </c>
      <c r="E16" s="4" t="s">
        <v>67</v>
      </c>
      <c r="F16" s="4" t="s">
        <v>67</v>
      </c>
    </row>
    <row r="17" customFormat="false" ht="15" hidden="false" customHeight="true" outlineLevel="0" collapsed="false">
      <c r="A17" s="5" t="s">
        <v>97</v>
      </c>
      <c r="B17" s="5" t="s">
        <v>86</v>
      </c>
      <c r="C17" s="5" t="n">
        <v>0</v>
      </c>
      <c r="D17" s="7" t="n">
        <v>793</v>
      </c>
      <c r="E17" s="5" t="s">
        <v>67</v>
      </c>
      <c r="F17" s="5" t="s">
        <v>67</v>
      </c>
    </row>
    <row r="18" customFormat="false" ht="15" hidden="false" customHeight="true" outlineLevel="0" collapsed="false">
      <c r="A18" s="4" t="s">
        <v>100</v>
      </c>
      <c r="B18" s="4" t="s">
        <v>86</v>
      </c>
      <c r="C18" s="4" t="n">
        <v>0</v>
      </c>
      <c r="D18" s="6" t="n">
        <v>793</v>
      </c>
      <c r="E18" s="4" t="s">
        <v>67</v>
      </c>
      <c r="F18" s="4" t="s">
        <v>67</v>
      </c>
    </row>
    <row r="19" customFormat="false" ht="15" hidden="false" customHeight="true" outlineLevel="0" collapsed="false">
      <c r="A19" s="5" t="s">
        <v>102</v>
      </c>
      <c r="B19" s="5" t="s">
        <v>86</v>
      </c>
      <c r="C19" s="5" t="n">
        <v>0</v>
      </c>
      <c r="D19" s="7" t="n">
        <v>3</v>
      </c>
      <c r="E19" s="5" t="s">
        <v>67</v>
      </c>
      <c r="F19" s="5" t="s">
        <v>67</v>
      </c>
    </row>
    <row r="20" customFormat="false" ht="15" hidden="false" customHeight="true" outlineLevel="0" collapsed="false">
      <c r="A20" s="4" t="s">
        <v>46</v>
      </c>
      <c r="B20" s="4" t="s">
        <v>86</v>
      </c>
      <c r="C20" s="4" t="n">
        <v>0</v>
      </c>
      <c r="D20" s="6" t="n">
        <v>1</v>
      </c>
      <c r="E20" s="4" t="s">
        <v>67</v>
      </c>
      <c r="F20" s="4" t="s">
        <v>67</v>
      </c>
    </row>
    <row r="21" customFormat="false" ht="15" hidden="false" customHeight="true" outlineLevel="0" collapsed="false">
      <c r="A21" s="5" t="s">
        <v>105</v>
      </c>
      <c r="B21" s="5" t="s">
        <v>86</v>
      </c>
      <c r="C21" s="5" t="n">
        <v>0</v>
      </c>
      <c r="D21" s="7" t="n">
        <v>531</v>
      </c>
      <c r="E21" s="5" t="s">
        <v>67</v>
      </c>
      <c r="F21" s="5" t="s">
        <v>67</v>
      </c>
    </row>
    <row r="22" customFormat="false" ht="15" hidden="false" customHeight="true" outlineLevel="0" collapsed="false">
      <c r="A22" s="4" t="s">
        <v>107</v>
      </c>
      <c r="B22" s="4" t="s">
        <v>86</v>
      </c>
      <c r="C22" s="4" t="n">
        <v>0</v>
      </c>
      <c r="D22" s="6" t="n">
        <v>49</v>
      </c>
      <c r="E22" s="4" t="s">
        <v>67</v>
      </c>
      <c r="F22" s="4" t="s">
        <v>67</v>
      </c>
    </row>
    <row r="23" customFormat="false" ht="15" hidden="false" customHeight="true" outlineLevel="0" collapsed="false">
      <c r="A23" s="5" t="s">
        <v>109</v>
      </c>
      <c r="B23" s="5" t="s">
        <v>168</v>
      </c>
      <c r="C23" s="5" t="n">
        <v>0</v>
      </c>
      <c r="D23" s="7" t="n">
        <v>631</v>
      </c>
      <c r="E23" s="5" t="n">
        <v>1040</v>
      </c>
      <c r="F23" s="5" t="n">
        <v>99301</v>
      </c>
    </row>
    <row r="24" customFormat="false" ht="15" hidden="false" customHeight="true" outlineLevel="0" collapsed="false">
      <c r="A24" s="4" t="s">
        <v>72</v>
      </c>
      <c r="B24" s="4" t="s">
        <v>86</v>
      </c>
      <c r="C24" s="4" t="n">
        <v>0</v>
      </c>
      <c r="D24" s="6" t="n">
        <v>4</v>
      </c>
      <c r="E24" s="4" t="s">
        <v>67</v>
      </c>
      <c r="F24" s="4" t="s">
        <v>67</v>
      </c>
    </row>
    <row r="25" customFormat="false" ht="15" hidden="false" customHeight="true" outlineLevel="0" collapsed="false">
      <c r="A25" s="5" t="s">
        <v>113</v>
      </c>
      <c r="B25" s="5" t="s">
        <v>86</v>
      </c>
      <c r="C25" s="5" t="n">
        <v>0</v>
      </c>
      <c r="D25" s="7" t="n">
        <v>1862</v>
      </c>
      <c r="E25" s="5" t="s">
        <v>67</v>
      </c>
      <c r="F25" s="5" t="s">
        <v>67</v>
      </c>
    </row>
    <row r="26" customFormat="false" ht="15" hidden="false" customHeight="true" outlineLevel="0" collapsed="false">
      <c r="A26" s="4" t="s">
        <v>115</v>
      </c>
      <c r="B26" s="4" t="s">
        <v>86</v>
      </c>
      <c r="C26" s="4" t="n">
        <v>0</v>
      </c>
      <c r="D26" s="6" t="n">
        <v>3</v>
      </c>
      <c r="E26" s="4" t="s">
        <v>67</v>
      </c>
      <c r="F26" s="4" t="s">
        <v>67</v>
      </c>
    </row>
    <row r="27" customFormat="false" ht="15" hidden="false" customHeight="true" outlineLevel="0" collapsed="false">
      <c r="A27" s="5" t="s">
        <v>118</v>
      </c>
      <c r="B27" s="5" t="s">
        <v>86</v>
      </c>
      <c r="C27" s="5" t="n">
        <v>0</v>
      </c>
      <c r="D27" s="7" t="n">
        <v>17</v>
      </c>
      <c r="E27" s="5" t="s">
        <v>67</v>
      </c>
      <c r="F27" s="5" t="s">
        <v>67</v>
      </c>
    </row>
    <row r="28" customFormat="false" ht="15" hidden="false" customHeight="true" outlineLevel="0" collapsed="false">
      <c r="A28" s="4" t="s">
        <v>120</v>
      </c>
      <c r="B28" s="4" t="s">
        <v>86</v>
      </c>
      <c r="C28" s="4" t="n">
        <v>0</v>
      </c>
      <c r="D28" s="6" t="n">
        <v>1850</v>
      </c>
      <c r="E28" s="4" t="s">
        <v>67</v>
      </c>
      <c r="F28" s="4" t="s">
        <v>67</v>
      </c>
    </row>
    <row r="29" customFormat="false" ht="15" hidden="false" customHeight="true" outlineLevel="0" collapsed="false">
      <c r="A29" s="5" t="s">
        <v>122</v>
      </c>
      <c r="B29" s="5" t="s">
        <v>168</v>
      </c>
      <c r="C29" s="5" t="n">
        <v>0</v>
      </c>
      <c r="D29" s="7" t="n">
        <v>6144</v>
      </c>
      <c r="E29" s="5" t="n">
        <v>0.44</v>
      </c>
      <c r="F29" s="5" t="n">
        <v>22638.48</v>
      </c>
    </row>
    <row r="30" customFormat="false" ht="15" hidden="false" customHeight="true" outlineLevel="0" collapsed="false">
      <c r="A30" s="4" t="s">
        <v>126</v>
      </c>
      <c r="B30" s="4" t="s">
        <v>168</v>
      </c>
      <c r="C30" s="4" t="n">
        <v>0</v>
      </c>
      <c r="D30" s="6" t="n">
        <v>14</v>
      </c>
      <c r="E30" s="4" t="n">
        <v>1</v>
      </c>
      <c r="F30" s="4" t="n">
        <v>14</v>
      </c>
    </row>
    <row r="31" customFormat="false" ht="15" hidden="false" customHeight="true" outlineLevel="0" collapsed="false">
      <c r="A31" s="5" t="s">
        <v>128</v>
      </c>
      <c r="B31" s="5" t="s">
        <v>168</v>
      </c>
      <c r="C31" s="5" t="n">
        <v>0</v>
      </c>
      <c r="D31" s="7" t="n">
        <v>12</v>
      </c>
      <c r="E31" s="5" t="n">
        <v>0</v>
      </c>
      <c r="F31" s="5" t="n">
        <v>0.8</v>
      </c>
    </row>
    <row r="32" customFormat="false" ht="15" hidden="false" customHeight="true" outlineLevel="0" collapsed="false">
      <c r="A32" s="4" t="s">
        <v>130</v>
      </c>
      <c r="B32" s="4" t="s">
        <v>168</v>
      </c>
      <c r="C32" s="4" t="n">
        <v>0</v>
      </c>
      <c r="D32" s="6" t="n">
        <v>7545</v>
      </c>
      <c r="E32" s="4" t="n">
        <v>-6599.98</v>
      </c>
      <c r="F32" s="4" t="n">
        <v>8399.98</v>
      </c>
    </row>
    <row r="35" customFormat="false" ht="15" hidden="false" customHeight="true" outlineLevel="0" collapsed="false">
      <c r="A35" s="10" t="s">
        <v>173</v>
      </c>
      <c r="B35" s="11"/>
      <c r="C35" s="11"/>
      <c r="D35" s="11"/>
      <c r="E35" s="11"/>
      <c r="F35" s="11"/>
      <c r="G35" s="11"/>
      <c r="H35" s="11"/>
    </row>
    <row r="36" customFormat="false" ht="15" hidden="false" customHeight="true" outlineLevel="0" collapsed="false">
      <c r="A36" s="3" t="s">
        <v>174</v>
      </c>
      <c r="B36" s="3" t="s">
        <v>175</v>
      </c>
      <c r="C36" s="3" t="s">
        <v>176</v>
      </c>
    </row>
    <row r="37" customFormat="false" ht="68.25" hidden="false" customHeight="true" outlineLevel="0" collapsed="false">
      <c r="A37" s="4" t="s">
        <v>109</v>
      </c>
      <c r="B37" s="4" t="s">
        <v>177</v>
      </c>
      <c r="C37" s="4" t="s">
        <v>178</v>
      </c>
    </row>
    <row r="38" customFormat="false" ht="34.5" hidden="false" customHeight="true" outlineLevel="0" collapsed="false">
      <c r="A38" s="5" t="s">
        <v>120</v>
      </c>
      <c r="B38" s="5" t="s">
        <v>179</v>
      </c>
      <c r="C38" s="5" t="s">
        <v>180</v>
      </c>
    </row>
    <row r="39" customFormat="false" ht="34.5" hidden="false" customHeight="true" outlineLevel="0" collapsed="false">
      <c r="A39" s="4" t="s">
        <v>113</v>
      </c>
      <c r="B39" s="4" t="s">
        <v>181</v>
      </c>
      <c r="C39" s="4" t="s">
        <v>182</v>
      </c>
    </row>
    <row r="40" customFormat="false" ht="45.75" hidden="false" customHeight="true" outlineLevel="0" collapsed="false">
      <c r="A40" s="5" t="s">
        <v>130</v>
      </c>
      <c r="B40" s="5" t="s">
        <v>183</v>
      </c>
      <c r="C40" s="5" t="s">
        <v>184</v>
      </c>
    </row>
    <row r="41" customFormat="false" ht="57" hidden="false" customHeight="true" outlineLevel="0" collapsed="false">
      <c r="A41" s="4" t="s">
        <v>92</v>
      </c>
      <c r="B41" s="4" t="s">
        <v>185</v>
      </c>
      <c r="C41" s="4" t="s">
        <v>186</v>
      </c>
    </row>
    <row r="42" customFormat="false" ht="45.75" hidden="false" customHeight="true" outlineLevel="0" collapsed="false">
      <c r="A42" s="5" t="s">
        <v>28</v>
      </c>
      <c r="B42" s="5" t="s">
        <v>187</v>
      </c>
      <c r="C42" s="5" t="s">
        <v>186</v>
      </c>
    </row>
    <row r="43" customFormat="false" ht="45.75" hidden="false" customHeight="true" outlineLevel="0" collapsed="false">
      <c r="A43" s="4" t="s">
        <v>188</v>
      </c>
      <c r="B43" s="4" t="s">
        <v>189</v>
      </c>
      <c r="C43" s="4"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8"/>
    <col collapsed="false" customWidth="true" hidden="false" outlineLevel="0" max="3" min="3" style="1" width="44"/>
    <col collapsed="false" customWidth="true" hidden="false" outlineLevel="0" max="4" min="4" style="1" width="14"/>
    <col collapsed="false" customWidth="true" hidden="false" outlineLevel="0" max="5" min="5" style="1" width="64"/>
  </cols>
  <sheetData>
    <row r="1" customFormat="false" ht="19.5" hidden="false" customHeight="true" outlineLevel="0" collapsed="false">
      <c r="A1" s="2" t="s">
        <v>190</v>
      </c>
    </row>
    <row r="3" customFormat="false" ht="15" hidden="false" customHeight="true" outlineLevel="0" collapsed="false">
      <c r="A3" s="3" t="s">
        <v>191</v>
      </c>
      <c r="B3" s="3" t="s">
        <v>79</v>
      </c>
      <c r="C3" s="3" t="s">
        <v>192</v>
      </c>
      <c r="D3" s="3" t="s">
        <v>193</v>
      </c>
      <c r="E3" s="3" t="s">
        <v>194</v>
      </c>
    </row>
    <row r="4" customFormat="false" ht="23.25" hidden="false" customHeight="true" outlineLevel="0" collapsed="false">
      <c r="A4" s="4" t="s">
        <v>26</v>
      </c>
      <c r="B4" s="4" t="s">
        <v>195</v>
      </c>
      <c r="C4" s="4" t="s">
        <v>196</v>
      </c>
      <c r="D4" s="4" t="s">
        <v>197</v>
      </c>
      <c r="E4" s="4" t="s">
        <v>198</v>
      </c>
    </row>
    <row r="5" customFormat="false" ht="15" hidden="false" customHeight="true" outlineLevel="0" collapsed="false">
      <c r="A5" s="5" t="s">
        <v>26</v>
      </c>
      <c r="B5" s="5" t="s">
        <v>195</v>
      </c>
      <c r="C5" s="5" t="s">
        <v>199</v>
      </c>
      <c r="D5" s="5" t="s">
        <v>197</v>
      </c>
      <c r="E5" s="5" t="s">
        <v>200</v>
      </c>
    </row>
    <row r="6" customFormat="false" ht="23.25" hidden="false" customHeight="true" outlineLevel="0" collapsed="false">
      <c r="A6" s="4" t="s">
        <v>26</v>
      </c>
      <c r="B6" s="4" t="s">
        <v>109</v>
      </c>
      <c r="C6" s="4" t="s">
        <v>201</v>
      </c>
      <c r="D6" s="4" t="s">
        <v>202</v>
      </c>
      <c r="E6" s="4" t="s">
        <v>203</v>
      </c>
    </row>
    <row r="7" customFormat="false" ht="15" hidden="false" customHeight="true" outlineLevel="0" collapsed="false">
      <c r="A7" s="5" t="s">
        <v>26</v>
      </c>
      <c r="B7" s="5" t="s">
        <v>120</v>
      </c>
      <c r="C7" s="5" t="s">
        <v>204</v>
      </c>
      <c r="D7" s="5" t="s">
        <v>202</v>
      </c>
      <c r="E7" s="5" t="s">
        <v>205</v>
      </c>
    </row>
    <row r="8" customFormat="false" ht="23.25" hidden="false" customHeight="true" outlineLevel="0" collapsed="false">
      <c r="A8" s="4" t="s">
        <v>26</v>
      </c>
      <c r="B8" s="4" t="s">
        <v>206</v>
      </c>
      <c r="C8" s="4" t="s">
        <v>207</v>
      </c>
      <c r="D8" s="4" t="s">
        <v>208</v>
      </c>
      <c r="E8" s="4" t="s">
        <v>209</v>
      </c>
    </row>
    <row r="9" customFormat="false" ht="23.25" hidden="false" customHeight="true" outlineLevel="0" collapsed="false">
      <c r="A9" s="5" t="s">
        <v>26</v>
      </c>
      <c r="B9" s="5" t="s">
        <v>210</v>
      </c>
      <c r="C9" s="5" t="s">
        <v>211</v>
      </c>
      <c r="D9" s="5" t="s">
        <v>202</v>
      </c>
      <c r="E9" s="5" t="s">
        <v>212</v>
      </c>
    </row>
    <row r="10" customFormat="false" ht="23.25" hidden="false" customHeight="true" outlineLevel="0" collapsed="false">
      <c r="A10" s="4" t="s">
        <v>26</v>
      </c>
      <c r="B10" s="4" t="s">
        <v>213</v>
      </c>
      <c r="C10" s="4" t="s">
        <v>214</v>
      </c>
      <c r="D10" s="4" t="s">
        <v>202</v>
      </c>
      <c r="E10" s="4" t="s">
        <v>215</v>
      </c>
    </row>
    <row r="11" customFormat="false" ht="15" hidden="false" customHeight="true" outlineLevel="0" collapsed="false">
      <c r="A11" s="5" t="s">
        <v>26</v>
      </c>
      <c r="B11" s="5" t="s">
        <v>130</v>
      </c>
      <c r="C11" s="5" t="s">
        <v>216</v>
      </c>
      <c r="D11" s="5" t="s">
        <v>208</v>
      </c>
      <c r="E11" s="5" t="s">
        <v>217</v>
      </c>
    </row>
    <row r="12" customFormat="false" ht="23.25" hidden="false" customHeight="true" outlineLevel="0" collapsed="false">
      <c r="A12" s="4" t="s">
        <v>28</v>
      </c>
      <c r="B12" s="4" t="s">
        <v>66</v>
      </c>
      <c r="C12" s="4" t="s">
        <v>218</v>
      </c>
      <c r="D12" s="4" t="s">
        <v>208</v>
      </c>
      <c r="E12" s="4" t="s">
        <v>219</v>
      </c>
    </row>
    <row r="13" customFormat="false" ht="15" hidden="false" customHeight="true" outlineLevel="0" collapsed="false">
      <c r="A13" s="5" t="s">
        <v>30</v>
      </c>
      <c r="B13" s="5" t="s">
        <v>72</v>
      </c>
      <c r="C13" s="5" t="s">
        <v>220</v>
      </c>
      <c r="D13" s="5" t="s">
        <v>197</v>
      </c>
      <c r="E13" s="5" t="s">
        <v>221</v>
      </c>
    </row>
    <row r="14" customFormat="false" ht="15" hidden="false" customHeight="true" outlineLevel="0" collapsed="false">
      <c r="A14" s="4" t="s">
        <v>222</v>
      </c>
      <c r="B14" s="4" t="s">
        <v>74</v>
      </c>
      <c r="C14" s="4" t="s">
        <v>223</v>
      </c>
      <c r="D14" s="4" t="s">
        <v>224</v>
      </c>
      <c r="E14" s="4" t="s">
        <v>225</v>
      </c>
    </row>
    <row r="17" customFormat="false" ht="31.5" hidden="false" customHeight="true" outlineLevel="0" collapsed="false">
      <c r="A17" s="13" t="s">
        <v>226</v>
      </c>
      <c r="B17" s="14" t="s">
        <v>227</v>
      </c>
      <c r="C17" s="14"/>
      <c r="D17" s="14"/>
      <c r="E17" s="14"/>
    </row>
  </sheetData>
  <mergeCells count="1">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70"/>
    <col collapsed="false" customWidth="true" hidden="false" outlineLevel="0" max="4" min="4" style="1" width="14"/>
  </cols>
  <sheetData>
    <row r="1" customFormat="false" ht="19.5" hidden="false" customHeight="true" outlineLevel="0" collapsed="false">
      <c r="A1" s="2" t="s">
        <v>228</v>
      </c>
    </row>
    <row r="3" customFormat="false" ht="15" hidden="false" customHeight="true" outlineLevel="0" collapsed="false">
      <c r="A3" s="3" t="s">
        <v>229</v>
      </c>
      <c r="B3" s="3" t="s">
        <v>230</v>
      </c>
      <c r="C3" s="3" t="s">
        <v>231</v>
      </c>
      <c r="D3" s="3" t="s">
        <v>55</v>
      </c>
    </row>
    <row r="4" customFormat="false" ht="15" hidden="false" customHeight="true" outlineLevel="0" collapsed="false">
      <c r="A4" s="4" t="n">
        <v>1</v>
      </c>
      <c r="B4" s="4" t="s">
        <v>232</v>
      </c>
      <c r="C4" s="4" t="s">
        <v>233</v>
      </c>
      <c r="D4" s="4" t="s">
        <v>234</v>
      </c>
    </row>
    <row r="5" customFormat="false" ht="15" hidden="false" customHeight="true" outlineLevel="0" collapsed="false">
      <c r="A5" s="5" t="n">
        <v>2</v>
      </c>
      <c r="B5" s="5" t="s">
        <v>155</v>
      </c>
      <c r="C5" s="5" t="s">
        <v>235</v>
      </c>
      <c r="D5" s="5" t="s">
        <v>234</v>
      </c>
    </row>
    <row r="6" customFormat="false" ht="15" hidden="false" customHeight="true" outlineLevel="0" collapsed="false">
      <c r="A6" s="4" t="n">
        <v>3</v>
      </c>
      <c r="B6" s="4" t="s">
        <v>236</v>
      </c>
      <c r="C6" s="4" t="s">
        <v>237</v>
      </c>
      <c r="D6" s="4" t="s">
        <v>234</v>
      </c>
    </row>
    <row r="7" customFormat="false" ht="15" hidden="false" customHeight="true" outlineLevel="0" collapsed="false">
      <c r="A7" s="5" t="n">
        <v>4</v>
      </c>
      <c r="B7" s="5" t="s">
        <v>238</v>
      </c>
      <c r="C7" s="5" t="s">
        <v>239</v>
      </c>
      <c r="D7" s="5" t="s">
        <v>234</v>
      </c>
    </row>
    <row r="8" customFormat="false" ht="23.25" hidden="false" customHeight="true" outlineLevel="0" collapsed="false">
      <c r="A8" s="4" t="n">
        <v>5</v>
      </c>
      <c r="B8" s="4" t="s">
        <v>240</v>
      </c>
      <c r="C8" s="4" t="s">
        <v>241</v>
      </c>
      <c r="D8" s="4" t="s">
        <v>234</v>
      </c>
    </row>
    <row r="9" customFormat="false" ht="23.25" hidden="false" customHeight="true" outlineLevel="0" collapsed="false">
      <c r="A9" s="5" t="n">
        <v>6</v>
      </c>
      <c r="B9" s="5" t="s">
        <v>242</v>
      </c>
      <c r="C9" s="5" t="s">
        <v>243</v>
      </c>
      <c r="D9" s="5" t="s">
        <v>234</v>
      </c>
    </row>
    <row r="10" customFormat="false" ht="15" hidden="false" customHeight="true" outlineLevel="0" collapsed="false">
      <c r="A10" s="4" t="n">
        <v>7</v>
      </c>
      <c r="B10" s="4" t="s">
        <v>244</v>
      </c>
      <c r="C10" s="4" t="s">
        <v>245</v>
      </c>
      <c r="D10" s="4" t="s">
        <v>234</v>
      </c>
    </row>
    <row r="11" customFormat="false" ht="15" hidden="false" customHeight="true" outlineLevel="0" collapsed="false">
      <c r="A11" s="5" t="n">
        <v>8</v>
      </c>
      <c r="B11" s="5" t="s">
        <v>246</v>
      </c>
      <c r="C11" s="5" t="s">
        <v>247</v>
      </c>
      <c r="D11" s="5" t="s">
        <v>234</v>
      </c>
    </row>
    <row r="12" customFormat="false" ht="15" hidden="false" customHeight="true" outlineLevel="0" collapsed="false">
      <c r="A12" s="4" t="n">
        <v>9</v>
      </c>
      <c r="B12" s="4" t="s">
        <v>248</v>
      </c>
      <c r="C12" s="4" t="s">
        <v>249</v>
      </c>
      <c r="D12" s="4"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22"/>
    <col collapsed="false" customWidth="true" hidden="false" outlineLevel="0" max="4" min="4" style="1" width="48"/>
  </cols>
  <sheetData>
    <row r="1" customFormat="false" ht="19.5" hidden="false" customHeight="true" outlineLevel="0" collapsed="false">
      <c r="A1" s="2" t="s">
        <v>250</v>
      </c>
    </row>
    <row r="3" customFormat="false" ht="15" hidden="false" customHeight="true" outlineLevel="0" collapsed="false">
      <c r="A3" s="3" t="s">
        <v>251</v>
      </c>
      <c r="B3" s="3" t="s">
        <v>252</v>
      </c>
      <c r="C3" s="3" t="s">
        <v>253</v>
      </c>
      <c r="D3" s="3" t="s">
        <v>254</v>
      </c>
    </row>
    <row r="4" customFormat="false" ht="15" hidden="false" customHeight="true" outlineLevel="0" collapsed="false">
      <c r="A4" s="4" t="n">
        <v>1</v>
      </c>
      <c r="B4" s="4" t="s">
        <v>255</v>
      </c>
      <c r="C4" s="4" t="s">
        <v>122</v>
      </c>
      <c r="D4" s="4" t="s">
        <v>256</v>
      </c>
    </row>
    <row r="5" customFormat="false" ht="15" hidden="false" customHeight="true" outlineLevel="0" collapsed="false">
      <c r="A5" s="5" t="n">
        <v>2</v>
      </c>
      <c r="B5" s="5" t="s">
        <v>257</v>
      </c>
      <c r="C5" s="5" t="s">
        <v>258</v>
      </c>
      <c r="D5" s="5" t="s">
        <v>259</v>
      </c>
    </row>
    <row r="6" customFormat="false" ht="15" hidden="false" customHeight="true" outlineLevel="0" collapsed="false">
      <c r="A6" s="4" t="n">
        <v>3</v>
      </c>
      <c r="B6" s="4" t="s">
        <v>260</v>
      </c>
      <c r="C6" s="4" t="s">
        <v>122</v>
      </c>
      <c r="D6" s="4" t="s">
        <v>261</v>
      </c>
    </row>
    <row r="7" customFormat="false" ht="15" hidden="false" customHeight="true" outlineLevel="0" collapsed="false">
      <c r="A7" s="5" t="n">
        <v>4</v>
      </c>
      <c r="B7" s="5" t="s">
        <v>262</v>
      </c>
      <c r="C7" s="5" t="s">
        <v>122</v>
      </c>
      <c r="D7" s="5" t="s">
        <v>263</v>
      </c>
    </row>
    <row r="8" customFormat="false" ht="15" hidden="false" customHeight="true" outlineLevel="0" collapsed="false">
      <c r="A8" s="4" t="n">
        <v>5</v>
      </c>
      <c r="B8" s="4" t="s">
        <v>264</v>
      </c>
      <c r="C8" s="4" t="s">
        <v>265</v>
      </c>
      <c r="D8" s="4" t="s">
        <v>266</v>
      </c>
    </row>
    <row r="9" customFormat="false" ht="15" hidden="false" customHeight="true" outlineLevel="0" collapsed="false">
      <c r="A9" s="5" t="n">
        <v>6</v>
      </c>
      <c r="B9" s="5" t="s">
        <v>267</v>
      </c>
      <c r="C9" s="5" t="s">
        <v>265</v>
      </c>
      <c r="D9" s="5" t="s">
        <v>268</v>
      </c>
    </row>
    <row r="10" customFormat="false" ht="23.25" hidden="false" customHeight="true" outlineLevel="0" collapsed="false">
      <c r="A10" s="4" t="n">
        <v>7</v>
      </c>
      <c r="B10" s="4" t="s">
        <v>269</v>
      </c>
      <c r="C10" s="4" t="s">
        <v>270</v>
      </c>
      <c r="D10" s="4" t="s">
        <v>271</v>
      </c>
    </row>
    <row r="11" customFormat="false" ht="15" hidden="false" customHeight="true" outlineLevel="0" collapsed="false">
      <c r="A11" s="5" t="n">
        <v>8</v>
      </c>
      <c r="B11" s="5" t="s">
        <v>272</v>
      </c>
      <c r="C11" s="5" t="s">
        <v>270</v>
      </c>
      <c r="D11" s="5" t="s">
        <v>273</v>
      </c>
    </row>
    <row r="12" customFormat="false" ht="15" hidden="false" customHeight="true" outlineLevel="0" collapsed="false">
      <c r="A12" s="4" t="n">
        <v>9</v>
      </c>
      <c r="B12" s="4" t="s">
        <v>274</v>
      </c>
      <c r="C12" s="4" t="s">
        <v>275</v>
      </c>
      <c r="D12" s="4" t="s">
        <v>276</v>
      </c>
    </row>
    <row r="13" customFormat="false" ht="23.25" hidden="false" customHeight="true" outlineLevel="0" collapsed="false">
      <c r="A13" s="5" t="n">
        <v>10</v>
      </c>
      <c r="B13" s="5" t="s">
        <v>277</v>
      </c>
      <c r="C13" s="5" t="s">
        <v>275</v>
      </c>
      <c r="D13" s="5" t="s">
        <v>278</v>
      </c>
    </row>
    <row r="14" customFormat="false" ht="15" hidden="false" customHeight="true" outlineLevel="0" collapsed="false">
      <c r="A14" s="4" t="n">
        <v>11</v>
      </c>
      <c r="B14" s="4" t="s">
        <v>279</v>
      </c>
      <c r="C14" s="4" t="s">
        <v>258</v>
      </c>
      <c r="D14" s="4" t="s">
        <v>280</v>
      </c>
    </row>
    <row r="15" customFormat="false" ht="15" hidden="false" customHeight="true" outlineLevel="0" collapsed="false">
      <c r="A15" s="5" t="n">
        <v>12</v>
      </c>
      <c r="B15" s="5" t="s">
        <v>281</v>
      </c>
      <c r="C15" s="5" t="s">
        <v>282</v>
      </c>
      <c r="D15" s="5"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66"/>
    <col collapsed="false" customWidth="true" hidden="false" outlineLevel="0" max="4" min="4" style="1" width="20"/>
    <col collapsed="false" customWidth="true" hidden="false" outlineLevel="0" max="5" min="5" style="1" width="26"/>
  </cols>
  <sheetData>
    <row r="1" customFormat="false" ht="19.5" hidden="false" customHeight="true" outlineLevel="0" collapsed="false">
      <c r="A1" s="2" t="s">
        <v>284</v>
      </c>
    </row>
    <row r="2" customFormat="false" ht="15" hidden="false" customHeight="true" outlineLevel="0" collapsed="false">
      <c r="A2" s="12" t="s">
        <v>285</v>
      </c>
    </row>
    <row r="4" customFormat="false" ht="15" hidden="false" customHeight="true" outlineLevel="0" collapsed="false">
      <c r="A4" s="3" t="s">
        <v>286</v>
      </c>
      <c r="B4" s="3" t="s">
        <v>287</v>
      </c>
      <c r="C4" s="3" t="s">
        <v>288</v>
      </c>
      <c r="D4" s="3" t="s">
        <v>289</v>
      </c>
      <c r="E4" s="3" t="s">
        <v>290</v>
      </c>
    </row>
    <row r="5" customFormat="false" ht="15" hidden="false" customHeight="true" outlineLevel="0" collapsed="false">
      <c r="A5" s="4" t="s">
        <v>291</v>
      </c>
      <c r="B5" s="4" t="s">
        <v>292</v>
      </c>
      <c r="C5" s="4" t="s">
        <v>293</v>
      </c>
      <c r="D5" s="4" t="s">
        <v>294</v>
      </c>
      <c r="E5" s="15" t="n">
        <v>2297200.86</v>
      </c>
    </row>
    <row r="6" customFormat="false" ht="15" hidden="false" customHeight="true" outlineLevel="0" collapsed="false">
      <c r="A6" s="5" t="s">
        <v>295</v>
      </c>
      <c r="B6" s="5" t="s">
        <v>296</v>
      </c>
      <c r="C6" s="5" t="s">
        <v>297</v>
      </c>
      <c r="D6" s="5" t="s">
        <v>298</v>
      </c>
      <c r="E6" s="7" t="n">
        <v>5009</v>
      </c>
    </row>
    <row r="7" customFormat="false" ht="15" hidden="false" customHeight="true" outlineLevel="0" collapsed="false">
      <c r="A7" s="4" t="s">
        <v>299</v>
      </c>
      <c r="B7" s="4" t="s">
        <v>300</v>
      </c>
      <c r="C7" s="4" t="s">
        <v>301</v>
      </c>
      <c r="D7" s="4" t="s">
        <v>302</v>
      </c>
      <c r="E7" s="15" t="n">
        <v>286397.02</v>
      </c>
    </row>
    <row r="8" customFormat="false" ht="15" hidden="false" customHeight="true" outlineLevel="0" collapsed="false">
      <c r="A8" s="5" t="s">
        <v>303</v>
      </c>
      <c r="B8" s="5" t="s">
        <v>304</v>
      </c>
      <c r="C8" s="5" t="s">
        <v>305</v>
      </c>
      <c r="D8" s="5" t="s">
        <v>294</v>
      </c>
      <c r="E8" s="7" t="n">
        <v>793</v>
      </c>
    </row>
    <row r="9" customFormat="false" ht="15" hidden="false" customHeight="true" outlineLevel="0" collapsed="false">
      <c r="A9" s="4" t="s">
        <v>306</v>
      </c>
      <c r="B9" s="4" t="s">
        <v>307</v>
      </c>
      <c r="C9" s="4" t="s">
        <v>308</v>
      </c>
      <c r="D9" s="4" t="s">
        <v>294</v>
      </c>
      <c r="E9" s="6" t="n">
        <v>296</v>
      </c>
    </row>
    <row r="10" customFormat="false" ht="15" hidden="false" customHeight="true" outlineLevel="0" collapsed="false">
      <c r="A10" s="5" t="s">
        <v>153</v>
      </c>
      <c r="B10" s="5" t="s">
        <v>309</v>
      </c>
      <c r="C10" s="5" t="s">
        <v>310</v>
      </c>
      <c r="D10" s="5" t="s">
        <v>311</v>
      </c>
      <c r="E10" s="16" t="n">
        <v>0.1247</v>
      </c>
    </row>
    <row r="11" customFormat="false" ht="23.25" hidden="false" customHeight="true" outlineLevel="0" collapsed="false">
      <c r="A11" s="4" t="s">
        <v>150</v>
      </c>
      <c r="B11" s="4" t="s">
        <v>312</v>
      </c>
      <c r="C11" s="4" t="s">
        <v>313</v>
      </c>
      <c r="D11" s="4" t="s">
        <v>311</v>
      </c>
      <c r="E11" s="4" t="s">
        <v>67</v>
      </c>
    </row>
    <row r="12" customFormat="false" ht="15" hidden="false" customHeight="true" outlineLevel="0" collapsed="false">
      <c r="A12" s="5" t="s">
        <v>314</v>
      </c>
      <c r="B12" s="5" t="s">
        <v>315</v>
      </c>
      <c r="C12" s="5" t="s">
        <v>316</v>
      </c>
      <c r="D12" s="5" t="s">
        <v>317</v>
      </c>
      <c r="E12" s="16" t="n">
        <v>0.0591</v>
      </c>
    </row>
    <row r="13" customFormat="false" ht="15" hidden="false" customHeight="true" outlineLevel="0" collapsed="false">
      <c r="A13" s="4" t="s">
        <v>318</v>
      </c>
      <c r="B13" s="4" t="s">
        <v>319</v>
      </c>
      <c r="C13" s="4" t="s">
        <v>320</v>
      </c>
      <c r="D13" s="4" t="s">
        <v>317</v>
      </c>
      <c r="E13" s="15" t="n">
        <v>458.61</v>
      </c>
    </row>
    <row r="14" customFormat="false" ht="15" hidden="false" customHeight="true" outlineLevel="0" collapsed="false">
      <c r="A14" s="5" t="s">
        <v>321</v>
      </c>
      <c r="B14" s="5" t="s">
        <v>322</v>
      </c>
      <c r="C14" s="5" t="s">
        <v>323</v>
      </c>
      <c r="D14" s="5" t="s">
        <v>317</v>
      </c>
      <c r="E14" s="5" t="s">
        <v>67</v>
      </c>
    </row>
    <row r="15" customFormat="false" ht="23.25" hidden="false" customHeight="true" outlineLevel="0" collapsed="false">
      <c r="A15" s="4" t="s">
        <v>324</v>
      </c>
      <c r="B15" s="4" t="s">
        <v>325</v>
      </c>
      <c r="C15" s="4" t="s">
        <v>326</v>
      </c>
      <c r="D15" s="4" t="s">
        <v>317</v>
      </c>
      <c r="E15" s="15" t="n">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9.5" hidden="false" customHeight="true" outlineLevel="0" collapsed="false">
      <c r="A1" s="2" t="s">
        <v>327</v>
      </c>
    </row>
    <row r="2" customFormat="false" ht="15" hidden="false" customHeight="true" outlineLevel="0" collapsed="false">
      <c r="A2" s="12" t="s">
        <v>328</v>
      </c>
    </row>
    <row r="3" customFormat="false" ht="15" hidden="false" customHeight="true" outlineLevel="0" collapsed="false">
      <c r="A3" s="17" t="s">
        <v>329</v>
      </c>
    </row>
    <row r="4" customFormat="false" ht="15" hidden="false" customHeight="true" outlineLevel="0" collapsed="false">
      <c r="A4" s="18" t="s">
        <v>330</v>
      </c>
    </row>
    <row r="5" customFormat="false" ht="15" hidden="false" customHeight="true" outlineLevel="0" collapsed="false">
      <c r="A5" s="18" t="s">
        <v>331</v>
      </c>
    </row>
    <row r="6" customFormat="false" ht="23.25" hidden="false" customHeight="true" outlineLevel="0" collapsed="false">
      <c r="A6" s="18" t="s">
        <v>332</v>
      </c>
    </row>
    <row r="7" customFormat="false" ht="15" hidden="false" customHeight="true" outlineLevel="0" collapsed="false">
      <c r="A7" s="18" t="s">
        <v>333</v>
      </c>
    </row>
    <row r="9" customFormat="false" ht="15" hidden="false" customHeight="true" outlineLevel="0" collapsed="false">
      <c r="A9" s="17" t="s">
        <v>334</v>
      </c>
    </row>
    <row r="10" customFormat="false" ht="15" hidden="false" customHeight="true" outlineLevel="0" collapsed="false">
      <c r="A10" s="18" t="s">
        <v>335</v>
      </c>
    </row>
    <row r="11" customFormat="false" ht="15" hidden="false" customHeight="true" outlineLevel="0" collapsed="false">
      <c r="A11" s="18" t="s">
        <v>336</v>
      </c>
    </row>
    <row r="12" customFormat="false" ht="15" hidden="false" customHeight="true" outlineLevel="0" collapsed="false">
      <c r="A12" s="18" t="s">
        <v>337</v>
      </c>
    </row>
    <row r="13" customFormat="false" ht="15" hidden="false" customHeight="true" outlineLevel="0" collapsed="false">
      <c r="A13" s="18" t="s">
        <v>338</v>
      </c>
    </row>
    <row r="15" customFormat="false" ht="15" hidden="false" customHeight="true" outlineLevel="0" collapsed="false">
      <c r="A15" s="17" t="s">
        <v>339</v>
      </c>
    </row>
    <row r="16" customFormat="false" ht="15" hidden="false" customHeight="true" outlineLevel="0" collapsed="false">
      <c r="A16" s="18" t="s">
        <v>340</v>
      </c>
    </row>
    <row r="17" customFormat="false" ht="15" hidden="false" customHeight="true" outlineLevel="0" collapsed="false">
      <c r="A17" s="18" t="s">
        <v>341</v>
      </c>
    </row>
    <row r="18" customFormat="false" ht="15" hidden="false" customHeight="true" outlineLevel="0" collapsed="false">
      <c r="A18" s="18" t="s">
        <v>342</v>
      </c>
    </row>
    <row r="20" customFormat="false" ht="15" hidden="false" customHeight="true" outlineLevel="0" collapsed="false">
      <c r="A20" s="17" t="s">
        <v>343</v>
      </c>
    </row>
    <row r="21" customFormat="false" ht="15" hidden="false" customHeight="true" outlineLevel="0" collapsed="false">
      <c r="A21" s="18" t="s">
        <v>344</v>
      </c>
    </row>
    <row r="22" customFormat="false" ht="15" hidden="false" customHeight="true" outlineLevel="0" collapsed="false">
      <c r="A22" s="18" t="s">
        <v>345</v>
      </c>
    </row>
    <row r="23" customFormat="false" ht="15" hidden="false" customHeight="true" outlineLevel="0" collapsed="false">
      <c r="A23" s="18" t="s">
        <v>346</v>
      </c>
    </row>
    <row r="25" customFormat="false" ht="15" hidden="false" customHeight="true" outlineLevel="0" collapsed="false">
      <c r="A25" s="17" t="s">
        <v>347</v>
      </c>
    </row>
    <row r="26" customFormat="false" ht="15" hidden="false" customHeight="true" outlineLevel="0" collapsed="false">
      <c r="A26" s="18" t="s">
        <v>348</v>
      </c>
    </row>
    <row r="27" customFormat="false" ht="15" hidden="false" customHeight="true" outlineLevel="0" collapsed="false">
      <c r="A27" s="18" t="s">
        <v>349</v>
      </c>
    </row>
    <row r="29" customFormat="false" ht="15" hidden="false" customHeight="true" outlineLevel="0" collapsed="false">
      <c r="A29" s="17" t="s">
        <v>350</v>
      </c>
    </row>
    <row r="30" customFormat="false" ht="15" hidden="false" customHeight="true" outlineLevel="0" collapsed="false">
      <c r="A30" s="18" t="s">
        <v>351</v>
      </c>
    </row>
    <row r="31" customFormat="false" ht="15" hidden="false" customHeight="true" outlineLevel="0" collapsed="false">
      <c r="A31" s="18" t="s">
        <v>352</v>
      </c>
    </row>
    <row r="33" customFormat="false" ht="15" hidden="false" customHeight="true" outlineLevel="0" collapsed="false">
      <c r="A33" s="17" t="s">
        <v>353</v>
      </c>
    </row>
    <row r="34" customFormat="false" ht="15" hidden="false" customHeight="true" outlineLevel="0" collapsed="false">
      <c r="A34" s="18" t="s">
        <v>354</v>
      </c>
    </row>
    <row r="35" customFormat="false" ht="15" hidden="false" customHeight="true" outlineLevel="0" collapsed="false">
      <c r="A35" s="18" t="s">
        <v>355</v>
      </c>
    </row>
    <row r="36" customFormat="false" ht="15" hidden="false" customHeight="true" outlineLevel="0" collapsed="false">
      <c r="A36" s="18" t="s">
        <v>356</v>
      </c>
    </row>
    <row r="38" customFormat="false" ht="15" hidden="false" customHeight="true" outlineLevel="0" collapsed="false">
      <c r="A38" s="17" t="s">
        <v>28</v>
      </c>
    </row>
    <row r="39" customFormat="false" ht="15" hidden="false" customHeight="true" outlineLevel="0" collapsed="false">
      <c r="A39" s="18" t="s">
        <v>357</v>
      </c>
    </row>
    <row r="40" customFormat="false" ht="15" hidden="false" customHeight="true" outlineLevel="0" collapsed="false">
      <c r="A40" s="18" t="s">
        <v>358</v>
      </c>
    </row>
    <row r="41" customFormat="false" ht="15" hidden="false" customHeight="true" outlineLevel="0" collapsed="false">
      <c r="A41" s="18" t="s">
        <v>359</v>
      </c>
    </row>
    <row r="43" customFormat="false" ht="15" hidden="false" customHeight="true" outlineLevel="0" collapsed="false">
      <c r="A43" s="17" t="s">
        <v>360</v>
      </c>
    </row>
    <row r="44" customFormat="false" ht="23.25" hidden="false" customHeight="true" outlineLevel="0" collapsed="false">
      <c r="A44" s="18" t="s">
        <v>361</v>
      </c>
    </row>
    <row r="45" customFormat="false" ht="15" hidden="false" customHeight="true" outlineLevel="0" collapsed="false">
      <c r="A45" s="18"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8"/>
    <col collapsed="false" customWidth="true" hidden="false" outlineLevel="0" max="3" min="3" style="1" width="56"/>
    <col collapsed="false" customWidth="true" hidden="false" outlineLevel="0" max="4" min="4" style="1" width="34"/>
  </cols>
  <sheetData>
    <row r="1" customFormat="false" ht="19.5" hidden="false" customHeight="true" outlineLevel="0" collapsed="false">
      <c r="A1" s="2" t="s">
        <v>363</v>
      </c>
    </row>
    <row r="2" customFormat="false" ht="15" hidden="false" customHeight="true" outlineLevel="0" collapsed="false">
      <c r="A2" s="12" t="s">
        <v>364</v>
      </c>
    </row>
    <row r="4" customFormat="false" ht="15" hidden="false" customHeight="true" outlineLevel="0" collapsed="false">
      <c r="A4" s="3" t="s">
        <v>252</v>
      </c>
      <c r="B4" s="3" t="s">
        <v>365</v>
      </c>
      <c r="C4" s="3" t="s">
        <v>366</v>
      </c>
      <c r="D4" s="3" t="s">
        <v>367</v>
      </c>
    </row>
    <row r="5" customFormat="false" ht="15" hidden="false" customHeight="true" outlineLevel="0" collapsed="false">
      <c r="A5" s="4" t="s">
        <v>368</v>
      </c>
      <c r="B5" s="4" t="s">
        <v>369</v>
      </c>
      <c r="C5" s="4" t="s">
        <v>291</v>
      </c>
      <c r="D5" s="4" t="s">
        <v>67</v>
      </c>
    </row>
    <row r="6" customFormat="false" ht="15" hidden="false" customHeight="true" outlineLevel="0" collapsed="false">
      <c r="A6" s="5" t="s">
        <v>370</v>
      </c>
      <c r="B6" s="5" t="s">
        <v>369</v>
      </c>
      <c r="C6" s="5" t="s">
        <v>295</v>
      </c>
      <c r="D6" s="5" t="s">
        <v>67</v>
      </c>
    </row>
    <row r="7" customFormat="false" ht="15" hidden="false" customHeight="true" outlineLevel="0" collapsed="false">
      <c r="A7" s="4" t="s">
        <v>371</v>
      </c>
      <c r="B7" s="4" t="s">
        <v>369</v>
      </c>
      <c r="C7" s="4" t="s">
        <v>299</v>
      </c>
      <c r="D7" s="4" t="s">
        <v>67</v>
      </c>
    </row>
    <row r="8" customFormat="false" ht="15" hidden="false" customHeight="true" outlineLevel="0" collapsed="false">
      <c r="A8" s="5" t="s">
        <v>372</v>
      </c>
      <c r="B8" s="5" t="s">
        <v>369</v>
      </c>
      <c r="C8" s="5" t="s">
        <v>303</v>
      </c>
      <c r="D8" s="5" t="s">
        <v>67</v>
      </c>
    </row>
    <row r="9" customFormat="false" ht="15" hidden="false" customHeight="true" outlineLevel="0" collapsed="false">
      <c r="A9" s="4" t="s">
        <v>373</v>
      </c>
      <c r="B9" s="4" t="s">
        <v>369</v>
      </c>
      <c r="C9" s="4" t="s">
        <v>306</v>
      </c>
      <c r="D9" s="4" t="s">
        <v>67</v>
      </c>
    </row>
    <row r="10" customFormat="false" ht="15" hidden="false" customHeight="true" outlineLevel="0" collapsed="false">
      <c r="A10" s="5" t="s">
        <v>374</v>
      </c>
      <c r="B10" s="5" t="s">
        <v>375</v>
      </c>
      <c r="C10" s="5" t="s">
        <v>376</v>
      </c>
      <c r="D10" s="5" t="s">
        <v>377</v>
      </c>
    </row>
    <row r="11" customFormat="false" ht="15" hidden="false" customHeight="true" outlineLevel="0" collapsed="false">
      <c r="A11" s="4" t="s">
        <v>378</v>
      </c>
      <c r="B11" s="4" t="s">
        <v>379</v>
      </c>
      <c r="C11" s="4" t="s">
        <v>380</v>
      </c>
      <c r="D11" s="4" t="s">
        <v>377</v>
      </c>
    </row>
    <row r="12" customFormat="false" ht="15" hidden="false" customHeight="true" outlineLevel="0" collapsed="false">
      <c r="A12" s="5" t="s">
        <v>264</v>
      </c>
      <c r="B12" s="5" t="s">
        <v>381</v>
      </c>
      <c r="C12" s="5" t="s">
        <v>382</v>
      </c>
      <c r="D12" s="5" t="s">
        <v>377</v>
      </c>
    </row>
    <row r="13" customFormat="false" ht="15" hidden="false" customHeight="true" outlineLevel="0" collapsed="false">
      <c r="A13" s="4" t="s">
        <v>383</v>
      </c>
      <c r="B13" s="4" t="s">
        <v>384</v>
      </c>
      <c r="C13" s="4" t="s">
        <v>385</v>
      </c>
      <c r="D13" s="4" t="s">
        <v>377</v>
      </c>
    </row>
    <row r="14" customFormat="false" ht="15" hidden="false" customHeight="true" outlineLevel="0" collapsed="false">
      <c r="A14" s="5" t="s">
        <v>272</v>
      </c>
      <c r="B14" s="5" t="s">
        <v>386</v>
      </c>
      <c r="C14" s="5" t="s">
        <v>387</v>
      </c>
      <c r="D14" s="5" t="s">
        <v>377</v>
      </c>
    </row>
    <row r="15" customFormat="false" ht="15" hidden="false" customHeight="true" outlineLevel="0" collapsed="false">
      <c r="A15" s="4" t="s">
        <v>388</v>
      </c>
      <c r="B15" s="4" t="s">
        <v>389</v>
      </c>
      <c r="C15" s="4" t="s">
        <v>390</v>
      </c>
      <c r="D15" s="4" t="s">
        <v>391</v>
      </c>
    </row>
    <row r="16" customFormat="false" ht="15" hidden="false" customHeight="true" outlineLevel="0" collapsed="false">
      <c r="A16" s="5" t="s">
        <v>392</v>
      </c>
      <c r="B16" s="5" t="s">
        <v>393</v>
      </c>
      <c r="C16" s="5" t="s">
        <v>394</v>
      </c>
      <c r="D16" s="5" t="s">
        <v>391</v>
      </c>
    </row>
    <row r="19" customFormat="false" ht="15" hidden="false" customHeight="true" outlineLevel="0" collapsed="false">
      <c r="A19" s="10" t="s">
        <v>395</v>
      </c>
      <c r="B19" s="11"/>
      <c r="C19" s="11"/>
      <c r="D19" s="11"/>
    </row>
    <row r="20" customFormat="false" ht="15" hidden="false" customHeight="true" outlineLevel="0" collapsed="false">
      <c r="A20" s="3" t="s">
        <v>252</v>
      </c>
      <c r="B20" s="3" t="s">
        <v>365</v>
      </c>
      <c r="C20" s="3" t="s">
        <v>366</v>
      </c>
      <c r="D20" s="3" t="s">
        <v>367</v>
      </c>
    </row>
    <row r="21" customFormat="false" ht="15" hidden="false" customHeight="true" outlineLevel="0" collapsed="false">
      <c r="A21" s="4" t="s">
        <v>396</v>
      </c>
      <c r="B21" s="4" t="s">
        <v>397</v>
      </c>
      <c r="C21" s="4" t="s">
        <v>398</v>
      </c>
      <c r="D21" s="4" t="s">
        <v>115</v>
      </c>
    </row>
    <row r="22" customFormat="false" ht="15" hidden="false" customHeight="true" outlineLevel="0" collapsed="false">
      <c r="A22" s="5" t="s">
        <v>399</v>
      </c>
      <c r="B22" s="5" t="s">
        <v>381</v>
      </c>
      <c r="C22" s="5" t="s">
        <v>400</v>
      </c>
      <c r="D22" s="5" t="s">
        <v>72</v>
      </c>
    </row>
    <row r="23" customFormat="false" ht="15" hidden="false" customHeight="true" outlineLevel="0" collapsed="false">
      <c r="A23" s="4" t="s">
        <v>401</v>
      </c>
      <c r="B23" s="4" t="s">
        <v>369</v>
      </c>
      <c r="C23" s="4" t="s">
        <v>314</v>
      </c>
      <c r="D23" s="4"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2026-10-23T10:17:45Z</dcterms:created>
  <dc:creator>openpyxl</dc:creator>
  <dc:description/>
  <dc:language>en-US</dc:language>
  <cp:lastModifiedBy/>
  <dcterms:modified xsi:type="dcterms:W3CDTF">2026-10-23T10:18:01Z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